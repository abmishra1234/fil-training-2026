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mple Suite" sheetId="2" state="visible" r:id="rId4"/>
    <sheet name="Full Suite" sheetId="3" state="visible" r:id="rId5"/>
  </sheets>
  <definedNames>
    <definedName function="false" hidden="true" localSheetId="2" name="_xlnm._FilterDatabase" vbProcedure="false">'Full Suite'!$A$1:$K$179</definedName>
    <definedName function="false" hidden="true" localSheetId="1" name="_xlnm._FilterDatabase" vbProcedure="false">'Simple Suite'!$A$1:$K$39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<sst xmlns="http://schemas.openxmlformats.org/spreadsheetml/2006/main" count="1779" uniqueCount="1039">
  <si>
    <t xml:space="preserve">CabRoster — Test Case Catalogue</t>
  </si>
  <si>
    <t xml:space="preserve">Generated from test docstrings. 'Cases' counts parametrized variants; pytest reports one result per case. Fill the Status column (Pass / Fail / Blocked) on the suite sheets — totals below update.</t>
  </si>
  <si>
    <t xml:space="preserve">Area</t>
  </si>
  <si>
    <t xml:space="preserve">Simple: tests</t>
  </si>
  <si>
    <t xml:space="preserve">Simple: cases</t>
  </si>
  <si>
    <t xml:space="preserve">Full: tests</t>
  </si>
  <si>
    <t xml:space="preserve">Full: cases</t>
  </si>
  <si>
    <t xml:space="preserve">Stretch: cases</t>
  </si>
  <si>
    <t xml:space="preserve">Passed (Full)</t>
  </si>
  <si>
    <t xml:space="preserve">Failed (Full)</t>
  </si>
  <si>
    <t xml:space="preserve">Health</t>
  </si>
  <si>
    <t xml:space="preserve">Auth &amp; Profile</t>
  </si>
  <si>
    <t xml:space="preserve">Roles &amp; Access</t>
  </si>
  <si>
    <t xml:space="preserve">Users</t>
  </si>
  <si>
    <t xml:space="preserve">Cabs</t>
  </si>
  <si>
    <t xml:space="preserve">Bookings</t>
  </si>
  <si>
    <t xml:space="preserve">Trips</t>
  </si>
  <si>
    <t xml:space="preserve">Driver</t>
  </si>
  <si>
    <t xml:space="preserve">Pagination</t>
  </si>
  <si>
    <t xml:space="preserve">End-to-end</t>
  </si>
  <si>
    <t xml:space="preserve">Reports (stretch)</t>
  </si>
  <si>
    <t xml:space="preserve">TOTAL</t>
  </si>
  <si>
    <t xml:space="preserve">How to run:</t>
  </si>
  <si>
    <t xml:space="preserve">  Simple suite (students):   pytest tests/simple</t>
  </si>
  <si>
    <t xml:space="preserve">  Full suite (grading):      pytest tests/full -m "not stretch"</t>
  </si>
  <si>
    <t xml:space="preserve">  Stretch (reports):         pytest -m stretch</t>
  </si>
  <si>
    <t xml:space="preserve">Pass mark suggestion: 100% of Simple; Full score = passed cases / total Full cases.</t>
  </si>
  <si>
    <t xml:space="preserve">TC ID</t>
  </si>
  <si>
    <t xml:space="preserve">Suite</t>
  </si>
  <si>
    <t xml:space="preserve">Endpoint</t>
  </si>
  <si>
    <t xml:space="preserve">Rule / Spec ref</t>
  </si>
  <si>
    <t xml:space="preserve">Scenario (steps)</t>
  </si>
  <si>
    <t xml:space="preserve">Expected result</t>
  </si>
  <si>
    <t xml:space="preserve">Cases</t>
  </si>
  <si>
    <t xml:space="preserve">pytest node id</t>
  </si>
  <si>
    <t xml:space="preserve">Status</t>
  </si>
  <si>
    <t xml:space="preserve">Notes</t>
  </si>
  <si>
    <t xml:space="preserve">S-HLT-01</t>
  </si>
  <si>
    <t xml:space="preserve">Simple</t>
  </si>
  <si>
    <t xml:space="preserve">GET /health</t>
  </si>
  <si>
    <t xml:space="preserve">DEV-01</t>
  </si>
  <si>
    <t xml:space="preserve">Call the health endpoint without a token.</t>
  </si>
  <si>
    <t xml:space="preserve">200 and body {"status": "ok"}</t>
  </si>
  <si>
    <t xml:space="preserve">tests/simple/test_simple_suite.py::test_health</t>
  </si>
  <si>
    <t xml:space="preserve">S-AUTH-01</t>
  </si>
  <si>
    <t xml:space="preserve">POST /auth/register</t>
  </si>
  <si>
    <t xml:space="preserve">A1</t>
  </si>
  <si>
    <t xml:space="preserve">Register a new employee with valid data.</t>
  </si>
  <si>
    <t xml:space="preserve">201, role EMPLOYEE, is_active true, no password fields in response</t>
  </si>
  <si>
    <t xml:space="preserve">tests/simple/test_simple_suite.py::test_register_employee</t>
  </si>
  <si>
    <t xml:space="preserve">S-AUTH-02</t>
  </si>
  <si>
    <t xml:space="preserve">Register twice with the same e-mail.</t>
  </si>
  <si>
    <t xml:space="preserve">second call 409</t>
  </si>
  <si>
    <t xml:space="preserve">tests/simple/test_simple_suite.py::test_register_duplicate_email</t>
  </si>
  <si>
    <t xml:space="preserve">S-AUTH-03</t>
  </si>
  <si>
    <t xml:space="preserve">POST /auth/login</t>
  </si>
  <si>
    <t xml:space="preserve">A2</t>
  </si>
  <si>
    <t xml:space="preserve">Log in with correct credentials (OAuth2 form).</t>
  </si>
  <si>
    <t xml:space="preserve">200 with access_token, token_type 'bearer' and role</t>
  </si>
  <si>
    <t xml:space="preserve">tests/simple/test_simple_suite.py::test_login_success</t>
  </si>
  <si>
    <t xml:space="preserve">S-AUTH-04</t>
  </si>
  <si>
    <t xml:space="preserve">Log in with a wrong password.</t>
  </si>
  <si>
    <t xml:space="preserve">401</t>
  </si>
  <si>
    <t xml:space="preserve">tests/simple/test_simple_suite.py::test_login_wrong_password</t>
  </si>
  <si>
    <t xml:space="preserve">S-AUTH-05</t>
  </si>
  <si>
    <t xml:space="preserve">GET /auth/me</t>
  </si>
  <si>
    <t xml:space="preserve">A3</t>
  </si>
  <si>
    <t xml:space="preserve">Fetch own profile with a valid token.</t>
  </si>
  <si>
    <t xml:space="preserve">200 and the same id/email as registered</t>
  </si>
  <si>
    <t xml:space="preserve">tests/simple/test_simple_suite.py::test_me</t>
  </si>
  <si>
    <t xml:space="preserve">S-AUTH-06</t>
  </si>
  <si>
    <t xml:space="preserve">DEV-03</t>
  </si>
  <si>
    <t xml:space="preserve">Call a protected endpoint without a token.</t>
  </si>
  <si>
    <t xml:space="preserve">tests/simple/test_simple_suite.py::test_me_without_token</t>
  </si>
  <si>
    <t xml:space="preserve">S-AUTH-07</t>
  </si>
  <si>
    <t xml:space="preserve">PATCH /auth/me</t>
  </si>
  <si>
    <t xml:space="preserve">A4</t>
  </si>
  <si>
    <t xml:space="preserve">Employee updates own address and zone.</t>
  </si>
  <si>
    <t xml:space="preserve">200 and new values returned</t>
  </si>
  <si>
    <t xml:space="preserve">tests/simple/test_simple_suite.py::test_update_me</t>
  </si>
  <si>
    <t xml:space="preserve">S-USR-01</t>
  </si>
  <si>
    <t xml:space="preserve">POST /users</t>
  </si>
  <si>
    <t xml:space="preserve">U1</t>
  </si>
  <si>
    <t xml:space="preserve">Admin creates a DRIVER with a license number.</t>
  </si>
  <si>
    <t xml:space="preserve">201 and role DRIVER</t>
  </si>
  <si>
    <t xml:space="preserve">tests/simple/test_simple_suite.py::test_admin_creates_driver</t>
  </si>
  <si>
    <t xml:space="preserve">S-USR-02</t>
  </si>
  <si>
    <t xml:space="preserve">U1, RBAC</t>
  </si>
  <si>
    <t xml:space="preserve">Employee tries to create a driver.</t>
  </si>
  <si>
    <t xml:space="preserve">403</t>
  </si>
  <si>
    <t xml:space="preserve">tests/simple/test_simple_suite.py::test_employee_cannot_create_user</t>
  </si>
  <si>
    <t xml:space="preserve">S-USR-03</t>
  </si>
  <si>
    <t xml:space="preserve">GET /users</t>
  </si>
  <si>
    <t xml:space="preserve">U2</t>
  </si>
  <si>
    <t xml:space="preserve">Admin lists users.</t>
  </si>
  <si>
    <t xml:space="preserve">200 and a pagination envelope (items, total, page, size, pages)</t>
  </si>
  <si>
    <t xml:space="preserve">tests/simple/test_simple_suite.py::test_list_users_paginated</t>
  </si>
  <si>
    <t xml:space="preserve">S-USR-04</t>
  </si>
  <si>
    <t xml:space="preserve">GET /users/{id}</t>
  </si>
  <si>
    <t xml:space="preserve">U3</t>
  </si>
  <si>
    <t xml:space="preserve">Admin fetches one user by id.</t>
  </si>
  <si>
    <t xml:space="preserve">200 and the right user</t>
  </si>
  <si>
    <t xml:space="preserve">tests/simple/test_simple_suite.py::test_get_user</t>
  </si>
  <si>
    <t xml:space="preserve">S-USR-05</t>
  </si>
  <si>
    <t xml:space="preserve">PATCH /users/{id}/status</t>
  </si>
  <si>
    <t xml:space="preserve">U4, BR-17</t>
  </si>
  <si>
    <t xml:space="preserve">Admin deactivates an employee, who then tries to log in.</t>
  </si>
  <si>
    <t xml:space="preserve">200 with is_active false; login afterwards 401</t>
  </si>
  <si>
    <t xml:space="preserve">tests/simple/test_simple_suite.py::test_deactivate_user</t>
  </si>
  <si>
    <t xml:space="preserve">S-CAB-01</t>
  </si>
  <si>
    <t xml:space="preserve">POST /cabs</t>
  </si>
  <si>
    <t xml:space="preserve">C1</t>
  </si>
  <si>
    <t xml:space="preserve">Admin creates a cab with a lower-case registration number.</t>
  </si>
  <si>
    <t xml:space="preserve">201, registration stored upper-case, is_active true</t>
  </si>
  <si>
    <t xml:space="preserve">tests/simple/test_simple_suite.py::test_create_cab</t>
  </si>
  <si>
    <t xml:space="preserve">S-CAB-02</t>
  </si>
  <si>
    <t xml:space="preserve">Create two cabs with the same registration number.</t>
  </si>
  <si>
    <t xml:space="preserve">tests/simple/test_simple_suite.py::test_create_cab_duplicate</t>
  </si>
  <si>
    <t xml:space="preserve">S-CAB-03</t>
  </si>
  <si>
    <t xml:space="preserve">GET /cabs</t>
  </si>
  <si>
    <t xml:space="preserve">C2</t>
  </si>
  <si>
    <t xml:space="preserve">Admin lists cabs sorted by capacity descending.</t>
  </si>
  <si>
    <t xml:space="preserve">200, biggest cab first</t>
  </si>
  <si>
    <t xml:space="preserve">tests/simple/test_simple_suite.py::test_list_cabs</t>
  </si>
  <si>
    <t xml:space="preserve">S-CAB-04</t>
  </si>
  <si>
    <t xml:space="preserve">GET /cabs/{id}</t>
  </si>
  <si>
    <t xml:space="preserve">C3</t>
  </si>
  <si>
    <t xml:space="preserve">Admin fetches a cab by id.</t>
  </si>
  <si>
    <t xml:space="preserve">200 and same registration number</t>
  </si>
  <si>
    <t xml:space="preserve">tests/simple/test_simple_suite.py::test_get_cab</t>
  </si>
  <si>
    <t xml:space="preserve">S-CAB-05</t>
  </si>
  <si>
    <t xml:space="preserve">PATCH /cabs/{id}</t>
  </si>
  <si>
    <t xml:space="preserve">C4</t>
  </si>
  <si>
    <t xml:space="preserve">Admin changes model and capacity.</t>
  </si>
  <si>
    <t xml:space="preserve">200 and updated values</t>
  </si>
  <si>
    <t xml:space="preserve">tests/simple/test_simple_suite.py::test_update_cab</t>
  </si>
  <si>
    <t xml:space="preserve">S-BKG-01</t>
  </si>
  <si>
    <t xml:space="preserve">POST /bookings</t>
  </si>
  <si>
    <t xml:space="preserve">B1</t>
  </si>
  <si>
    <t xml:space="preserve">Employee books PICKUP for next Monday (now = Fri 10:00).</t>
  </si>
  <si>
    <t xml:space="preserve">201, status BOOKED, zone/address copied from profile, trip null</t>
  </si>
  <si>
    <t xml:space="preserve">tests/simple/test_simple_suite.py::test_create_booking</t>
  </si>
  <si>
    <t xml:space="preserve">S-BKG-02</t>
  </si>
  <si>
    <t xml:space="preserve">BR-03</t>
  </si>
  <si>
    <t xml:space="preserve">Book the same date and slot twice.</t>
  </si>
  <si>
    <t xml:space="preserve">tests/simple/test_simple_suite.py::test_create_booking_duplicate</t>
  </si>
  <si>
    <t xml:space="preserve">S-BKG-03</t>
  </si>
  <si>
    <t xml:space="preserve">GET /bookings/me</t>
  </si>
  <si>
    <t xml:space="preserve">B2</t>
  </si>
  <si>
    <t xml:space="preserve">Employee with two bookings lists own bookings.</t>
  </si>
  <si>
    <t xml:space="preserve">200, total 2, newest travel date first (default sort)</t>
  </si>
  <si>
    <t xml:space="preserve">tests/simple/test_simple_suite.py::test_my_bookings</t>
  </si>
  <si>
    <t xml:space="preserve">S-BKG-04</t>
  </si>
  <si>
    <t xml:space="preserve">GET /bookings/{id}</t>
  </si>
  <si>
    <t xml:space="preserve">B3</t>
  </si>
  <si>
    <t xml:space="preserve">Employee opens own booking.</t>
  </si>
  <si>
    <t xml:space="preserve">200 and same booking id</t>
  </si>
  <si>
    <t xml:space="preserve">tests/simple/test_simple_suite.py::test_get_booking</t>
  </si>
  <si>
    <t xml:space="preserve">S-BKG-05</t>
  </si>
  <si>
    <t xml:space="preserve">PATCH /bookings/{id}/cancel</t>
  </si>
  <si>
    <t xml:space="preserve">B4, BR-06</t>
  </si>
  <si>
    <t xml:space="preserve">Employee cancels own booking well before the cut-off.</t>
  </si>
  <si>
    <t xml:space="preserve">200 and status CANCELLED</t>
  </si>
  <si>
    <t xml:space="preserve">tests/simple/test_simple_suite.py::test_cancel_booking</t>
  </si>
  <si>
    <t xml:space="preserve">S-BKG-06</t>
  </si>
  <si>
    <t xml:space="preserve">GET /bookings</t>
  </si>
  <si>
    <t xml:space="preserve">B5</t>
  </si>
  <si>
    <t xml:space="preserve">Admin filters bookings by date and slot.</t>
  </si>
  <si>
    <t xml:space="preserve">200 and only the matching booking</t>
  </si>
  <si>
    <t xml:space="preserve">tests/simple/test_simple_suite.py::test_admin_list_bookings</t>
  </si>
  <si>
    <t xml:space="preserve">S-TRP-01</t>
  </si>
  <si>
    <t xml:space="preserve">POST /trips</t>
  </si>
  <si>
    <t xml:space="preserve">T1</t>
  </si>
  <si>
    <t xml:space="preserve">Admin creates a trip with an active cab and driver.</t>
  </si>
  <si>
    <t xml:space="preserve">201, status SCHEDULED, seats_available = capacity</t>
  </si>
  <si>
    <t xml:space="preserve">tests/simple/test_simple_suite.py::test_create_trip</t>
  </si>
  <si>
    <t xml:space="preserve">S-TRP-02</t>
  </si>
  <si>
    <t xml:space="preserve">GET /trips</t>
  </si>
  <si>
    <t xml:space="preserve">T2</t>
  </si>
  <si>
    <t xml:space="preserve">Admin lists trips for a date.</t>
  </si>
  <si>
    <t xml:space="preserve">200, total 1</t>
  </si>
  <si>
    <t xml:space="preserve">tests/simple/test_simple_suite.py::test_list_trips</t>
  </si>
  <si>
    <t xml:space="preserve">S-TRP-03</t>
  </si>
  <si>
    <t xml:space="preserve">GET /trips/{id}</t>
  </si>
  <si>
    <t xml:space="preserve">T3</t>
  </si>
  <si>
    <t xml:space="preserve">Admin opens a trip that has one passenger.</t>
  </si>
  <si>
    <t xml:space="preserve">200 with cab, driver and 1 passenger</t>
  </si>
  <si>
    <t xml:space="preserve">tests/simple/test_simple_suite.py::test_get_trip_detail</t>
  </si>
  <si>
    <t xml:space="preserve">S-TRP-04</t>
  </si>
  <si>
    <t xml:space="preserve">POST /trips/{id}/bookings</t>
  </si>
  <si>
    <t xml:space="preserve">T4, BR-10</t>
  </si>
  <si>
    <t xml:space="preserve">Admin assigns two matching bookings to a trip.</t>
  </si>
  <si>
    <t xml:space="preserve">200, seats_booked 2 and bookings now ASSIGNED</t>
  </si>
  <si>
    <t xml:space="preserve">tests/simple/test_simple_suite.py::test_assign_bookings</t>
  </si>
  <si>
    <t xml:space="preserve">S-TRP-05</t>
  </si>
  <si>
    <t xml:space="preserve">BR-09</t>
  </si>
  <si>
    <t xml:space="preserve">Assign 3 bookings to a 2-seat cab.</t>
  </si>
  <si>
    <t xml:space="preserve">409</t>
  </si>
  <si>
    <t xml:space="preserve">tests/simple/test_simple_suite.py::test_assign_over_capacity</t>
  </si>
  <si>
    <t xml:space="preserve">S-TRP-06</t>
  </si>
  <si>
    <t xml:space="preserve">DELETE /trips/{id}/bookings/{booking_id}</t>
  </si>
  <si>
    <t xml:space="preserve">T5</t>
  </si>
  <si>
    <t xml:space="preserve">Admin removes an assigned booking from a scheduled trip.</t>
  </si>
  <si>
    <t xml:space="preserve">200/204 and booking back to BOOKED with no trip</t>
  </si>
  <si>
    <t xml:space="preserve">tests/simple/test_simple_suite.py::test_remove_booking_from_trip</t>
  </si>
  <si>
    <t xml:space="preserve">S-TRP-07</t>
  </si>
  <si>
    <t xml:space="preserve">PATCH /trips/{id}/cancel</t>
  </si>
  <si>
    <t xml:space="preserve">T6, BR-16</t>
  </si>
  <si>
    <t xml:space="preserve">Admin cancels a scheduled trip.</t>
  </si>
  <si>
    <t xml:space="preserve">200, trip CANCELLED</t>
  </si>
  <si>
    <t xml:space="preserve">tests/simple/test_simple_suite.py::test_cancel_trip</t>
  </si>
  <si>
    <t xml:space="preserve">S-DRV-01</t>
  </si>
  <si>
    <t xml:space="preserve">GET /driver/trips</t>
  </si>
  <si>
    <t xml:space="preserve">D1</t>
  </si>
  <si>
    <t xml:space="preserve">Driver lists own trips.</t>
  </si>
  <si>
    <t xml:space="preserve">tests/simple/test_simple_suite.py::test_driver_lists_own_trips</t>
  </si>
  <si>
    <t xml:space="preserve">S-DRV-02</t>
  </si>
  <si>
    <t xml:space="preserve">GET /driver/trips/{id}</t>
  </si>
  <si>
    <t xml:space="preserve">D2</t>
  </si>
  <si>
    <t xml:space="preserve">Driver opens the manifest of own trip.</t>
  </si>
  <si>
    <t xml:space="preserve">200 with passenger name and phone</t>
  </si>
  <si>
    <t xml:space="preserve">tests/simple/test_simple_suite.py::test_driver_manifest</t>
  </si>
  <si>
    <t xml:space="preserve">S-DRV-03</t>
  </si>
  <si>
    <t xml:space="preserve">PATCH /driver/trips/{id}/start</t>
  </si>
  <si>
    <t xml:space="preserve">D3</t>
  </si>
  <si>
    <t xml:space="preserve">Driver starts a PICKUP trip at 06:05 on the travel date.</t>
  </si>
  <si>
    <t xml:space="preserve">200, status IN_PROGRESS</t>
  </si>
  <si>
    <t xml:space="preserve">tests/simple/test_simple_suite.py::test_driver_start_trip</t>
  </si>
  <si>
    <t xml:space="preserve">S-DRV-04</t>
  </si>
  <si>
    <t xml:space="preserve">PATCH /driver/trips/{id}/bookings/{booking_id}</t>
  </si>
  <si>
    <t xml:space="preserve">D4</t>
  </si>
  <si>
    <t xml:space="preserve">Driver marks a passenger BOARDED on an in-progress trip.</t>
  </si>
  <si>
    <t xml:space="preserve">200 and booking status BOARDED</t>
  </si>
  <si>
    <t xml:space="preserve">tests/simple/test_simple_suite.py::test_driver_marks_boarded</t>
  </si>
  <si>
    <t xml:space="preserve">S-DRV-05</t>
  </si>
  <si>
    <t xml:space="preserve">PATCH /driver/trips/{id}/complete</t>
  </si>
  <si>
    <t xml:space="preserve">D5</t>
  </si>
  <si>
    <t xml:space="preserve">Driver completes an in-progress trip.</t>
  </si>
  <si>
    <t xml:space="preserve">200, status COMPLETED</t>
  </si>
  <si>
    <t xml:space="preserve">tests/simple/test_simple_suite.py::test_driver_completes_trip</t>
  </si>
  <si>
    <t xml:space="preserve">S-DRV-06</t>
  </si>
  <si>
    <t xml:space="preserve">RBAC</t>
  </si>
  <si>
    <t xml:space="preserve">Driver calls the admin trips list.</t>
  </si>
  <si>
    <t xml:space="preserve">tests/simple/test_simple_suite.py::test_driver_cannot_see_admin_lists</t>
  </si>
  <si>
    <t xml:space="preserve">S-E2E-01</t>
  </si>
  <si>
    <t xml:space="preserve">Full flow</t>
  </si>
  <si>
    <t xml:space="preserve">Demo script</t>
  </si>
  <si>
    <t xml:space="preserve">Employee books, admin creates trip and assigns, driver starts, marks boarded and completes; employee sees result.</t>
  </si>
  <si>
    <t xml:space="preserve">final booking status COMPLETED with trip summary showing cab and driver</t>
  </si>
  <si>
    <t xml:space="preserve">tests/simple/test_simple_suite.py::test_happy_path_end_to_end</t>
  </si>
  <si>
    <t xml:space="preserve">Legend: yellow Status cells are for you to fill (Pass / Fail / Blocked / Not run).</t>
  </si>
  <si>
    <t xml:space="preserve">F-AUTH-01</t>
  </si>
  <si>
    <t xml:space="preserve">Full</t>
  </si>
  <si>
    <t xml:space="preserve">A1, 4.1</t>
  </si>
  <si>
    <t xml:space="preserve">Register and inspect the response body.</t>
  </si>
  <si>
    <t xml:space="preserve">201; body has every UserRead field; role EMPLOYEE; license_no null</t>
  </si>
  <si>
    <t xml:space="preserve">tests/full/test_full_auth.py::test_register_response_shape</t>
  </si>
  <si>
    <t xml:space="preserve">F-AUTH-02</t>
  </si>
  <si>
    <t xml:space="preserve">4.1</t>
  </si>
  <si>
    <t xml:space="preserve">Register with a mixed-case e-mail.</t>
  </si>
  <si>
    <t xml:space="preserve">201 and e-mail stored/returned in lower-case</t>
  </si>
  <si>
    <t xml:space="preserve">tests/full/test_full_auth.py::test_register_email_lowercased</t>
  </si>
  <si>
    <t xml:space="preserve">F-AUTH-03</t>
  </si>
  <si>
    <t xml:space="preserve">Register 'a@x' then 'A@X' (same address, different case).</t>
  </si>
  <si>
    <t xml:space="preserve">tests/full/test_full_auth.py::test_register_duplicate_email_case_insensitive</t>
  </si>
  <si>
    <t xml:space="preserve">F-AUTH-04</t>
  </si>
  <si>
    <t xml:space="preserve">Two different e-mails with the same employee_code.</t>
  </si>
  <si>
    <t xml:space="preserve">tests/full/test_full_auth.py::test_register_duplicate_employee_code</t>
  </si>
  <si>
    <t xml:space="preserve">F-AUTH-05</t>
  </si>
  <si>
    <t xml:space="preserve">A1, 4.1, 5.5</t>
  </si>
  <si>
    <t xml:space="preserve">Each invalid or missing field (20 variants: name length, e-mail, phone regex ^[6-9]\d{9}$, password rules, code length, zone enum, address length).</t>
  </si>
  <si>
    <t xml:space="preserve">422 for every variant</t>
  </si>
  <si>
    <t xml:space="preserve">tests/full/test_full_auth.py::test_register_validation</t>
  </si>
  <si>
    <t xml:space="preserve">F-AUTH-06</t>
  </si>
  <si>
    <t xml:space="preserve">Boundary-valid values: 2-char name, 100-char name, 8-char password, 20-char code, phone starting 6.</t>
  </si>
  <si>
    <t xml:space="preserve">201 for each</t>
  </si>
  <si>
    <t xml:space="preserve">tests/full/test_full_auth.py::test_register_boundary_values_accepted</t>
  </si>
  <si>
    <t xml:space="preserve">F-AUTH-07</t>
  </si>
  <si>
    <t xml:space="preserve">Register without optional home_address and zone.</t>
  </si>
  <si>
    <t xml:space="preserve">201 with both null</t>
  </si>
  <si>
    <t xml:space="preserve">tests/full/test_full_auth.py::test_register_without_address_and_zone</t>
  </si>
  <si>
    <t xml:space="preserve">F-AUTH-08</t>
  </si>
  <si>
    <t xml:space="preserve">A1, security</t>
  </si>
  <si>
    <t xml:space="preserve">Send role=ADMIN in the registration body.</t>
  </si>
  <si>
    <t xml:space="preserve">user is never ADMIN (either 422, or 201 with role EMPLOYEE)</t>
  </si>
  <si>
    <t xml:space="preserve">tests/full/test_full_auth.py::test_register_cannot_escalate_role</t>
  </si>
  <si>
    <t xml:space="preserve">F-AUTH-09</t>
  </si>
  <si>
    <t xml:space="preserve">NFR security</t>
  </si>
  <si>
    <t xml:space="preserve">Look at the stored hashed_password column after registering.</t>
  </si>
  <si>
    <t xml:space="preserve">not equal to the plain password and is a bcrypt hash ($2...)</t>
  </si>
  <si>
    <t xml:space="preserve">tests/full/test_full_auth.py::test_password_is_hashed_in_db</t>
  </si>
  <si>
    <t xml:space="preserve">F-AUTH-10</t>
  </si>
  <si>
    <t xml:space="preserve">Log in using an upper-cased version of the e-mail.</t>
  </si>
  <si>
    <t xml:space="preserve">200</t>
  </si>
  <si>
    <t xml:space="preserve">tests/full/test_full_auth.py::test_login_email_case_insensitive</t>
  </si>
  <si>
    <t xml:space="preserve">F-AUTH-11</t>
  </si>
  <si>
    <t xml:space="preserve">Log in with an e-mail that is not registered.</t>
  </si>
  <si>
    <t xml:space="preserve">tests/full/test_full_auth.py::test_login_unknown_email</t>
  </si>
  <si>
    <t xml:space="preserve">F-AUTH-12</t>
  </si>
  <si>
    <t xml:space="preserve">A2 (OAuth2 password flow)</t>
  </si>
  <si>
    <t xml:space="preserve">Send credentials as JSON instead of form fields.</t>
  </si>
  <si>
    <t xml:space="preserve">422 (form fields username/password are required)</t>
  </si>
  <si>
    <t xml:space="preserve">tests/full/test_full_auth.py::test_login_requires_form_data</t>
  </si>
  <si>
    <t xml:space="preserve">F-AUTH-13</t>
  </si>
  <si>
    <t xml:space="preserve">Decode the JWT payload.</t>
  </si>
  <si>
    <t xml:space="preserve">sub == str(user id), role == EMPLOYEE, exp ≈ 60 min from real time (55–65)</t>
  </si>
  <si>
    <t xml:space="preserve">tests/full/test_full_auth.py::test_token_claims</t>
  </si>
  <si>
    <t xml:space="preserve">F-AUTH-14</t>
  </si>
  <si>
    <t xml:space="preserve">Log in as admin, driver and employee.</t>
  </si>
  <si>
    <t xml:space="preserve">role field ADMIN / DRIVER / EMPLOYEE respectively</t>
  </si>
  <si>
    <t xml:space="preserve">tests/full/test_full_auth.py::test_login_returns_role_for_each_role</t>
  </si>
  <si>
    <t xml:space="preserve">F-AUTH-15</t>
  </si>
  <si>
    <t xml:space="preserve">5.5, DEV-03</t>
  </si>
  <si>
    <t xml:space="preserve">Call without Authorization header.</t>
  </si>
  <si>
    <t xml:space="preserve">401 and header WWW-Authenticate: Bearer</t>
  </si>
  <si>
    <t xml:space="preserve">tests/full/test_full_auth.py::test_missing_token_has_www_authenticate</t>
  </si>
  <si>
    <t xml:space="preserve">F-AUTH-16</t>
  </si>
  <si>
    <t xml:space="preserve">Malformed Authorization headers (garbage JWT, empty bearer, Basic auth, no scheme).</t>
  </si>
  <si>
    <t xml:space="preserve">401 for each</t>
  </si>
  <si>
    <t xml:space="preserve">tests/full/test_full_auth.py::test_malformed_tokens</t>
  </si>
  <si>
    <t xml:space="preserve">F-AUTH-17</t>
  </si>
  <si>
    <t xml:space="preserve">Token with valid claims but signed with a different secret.</t>
  </si>
  <si>
    <t xml:space="preserve">tests/full/test_full_auth.py::test_token_signed_with_wrong_secret</t>
  </si>
  <si>
    <t xml:space="preserve">F-AUTH-18</t>
  </si>
  <si>
    <t xml:space="preserve">Correctly signed token whose exp is 2 minutes in the past.</t>
  </si>
  <si>
    <t xml:space="preserve">tests/full/test_full_auth.py::test_expired_token</t>
  </si>
  <si>
    <t xml:space="preserve">F-AUTH-19</t>
  </si>
  <si>
    <t xml:space="preserve">Test Contract</t>
  </si>
  <si>
    <t xml:space="preserve">Hand-built HS256 token with settings.JWT_SECRET_KEY (proves contract settings are really used).</t>
  </si>
  <si>
    <t xml:space="preserve">200 and correct user</t>
  </si>
  <si>
    <t xml:space="preserve">tests/full/test_full_auth.py::test_self_signed_valid_token_accepted</t>
  </si>
  <si>
    <t xml:space="preserve">F-AUTH-20</t>
  </si>
  <si>
    <t xml:space="preserve">Valid signature, sub = 999999 (no such user).</t>
  </si>
  <si>
    <t xml:space="preserve">tests/full/test_full_auth.py::test_token_for_nonexistent_user</t>
  </si>
  <si>
    <t xml:space="preserve">F-AUTH-21</t>
  </si>
  <si>
    <t xml:space="preserve">Valid signature but no 'sub' claim.</t>
  </si>
  <si>
    <t xml:space="preserve">tests/full/test_full_auth.py::test_token_without_sub</t>
  </si>
  <si>
    <t xml:space="preserve">F-AUTH-22</t>
  </si>
  <si>
    <t xml:space="preserve">security</t>
  </si>
  <si>
    <t xml:space="preserve">Employee forges a token with role=ADMIN (signed correctly) — role must come from the DB user.</t>
  </si>
  <si>
    <t xml:space="preserve">403 on an admin endpoint</t>
  </si>
  <si>
    <t xml:space="preserve">tests/full/test_full_auth.py::test_role_claim_is_not_trusted_for_authorisation</t>
  </si>
  <si>
    <t xml:space="preserve">F-AUTH-23</t>
  </si>
  <si>
    <t xml:space="preserve">BR-17</t>
  </si>
  <si>
    <t xml:space="preserve">Employee logs in, admin deactivates them, employee reuses the old token.</t>
  </si>
  <si>
    <t xml:space="preserve">tests/full/test_full_auth.py::test_deactivated_user_existing_token_rejected</t>
  </si>
  <si>
    <t xml:space="preserve">F-AUTH-24</t>
  </si>
  <si>
    <t xml:space="preserve">Deactivated user logs in with the correct password.</t>
  </si>
  <si>
    <t xml:space="preserve">tests/full/test_full_auth.py::test_inactive_user_login_rejected</t>
  </si>
  <si>
    <t xml:space="preserve">F-AUTH-25</t>
  </si>
  <si>
    <t xml:space="preserve">several</t>
  </si>
  <si>
    <t xml:space="preserve">Inspect register, /auth/me, POST /users, GET /users, GET /users/{id} responses.</t>
  </si>
  <si>
    <t xml:space="preserve">no key containing 'password' anywhere</t>
  </si>
  <si>
    <t xml:space="preserve">tests/full/test_full_auth.py::test_password_never_exposed</t>
  </si>
  <si>
    <t xml:space="preserve">F-AUTH-26</t>
  </si>
  <si>
    <t xml:space="preserve">Update phone, address and zone, then GET /auth/me.</t>
  </si>
  <si>
    <t xml:space="preserve">200 and GET shows the new values</t>
  </si>
  <si>
    <t xml:space="preserve">tests/full/test_full_auth.py::test_update_profile_persists</t>
  </si>
  <si>
    <t xml:space="preserve">F-AUTH-27</t>
  </si>
  <si>
    <t xml:space="preserve">Update only the phone.</t>
  </si>
  <si>
    <t xml:space="preserve">200; address and zone unchanged</t>
  </si>
  <si>
    <t xml:space="preserve">tests/full/test_full_auth.py::test_update_profile_partial</t>
  </si>
  <si>
    <t xml:space="preserve">F-AUTH-28</t>
  </si>
  <si>
    <t xml:space="preserve">A4, 4.1</t>
  </si>
  <si>
    <t xml:space="preserve">Invalid phone, zone or over-long address.</t>
  </si>
  <si>
    <t xml:space="preserve">422</t>
  </si>
  <si>
    <t xml:space="preserve">tests/full/test_full_auth.py::test_update_profile_validation</t>
  </si>
  <si>
    <t xml:space="preserve">F-AUTH-29</t>
  </si>
  <si>
    <t xml:space="preserve">Try to change role, email and is_active via PATCH /auth/me.</t>
  </si>
  <si>
    <t xml:space="preserve">afterwards role still EMPLOYEE, e-mail unchanged, still active</t>
  </si>
  <si>
    <t xml:space="preserve">tests/full/test_full_auth.py::test_update_profile_cannot_change_protected_fields</t>
  </si>
  <si>
    <t xml:space="preserve">F-AUTH-30</t>
  </si>
  <si>
    <t xml:space="preserve">A4 (DRIVER: phone only)</t>
  </si>
  <si>
    <t xml:space="preserve">Driver updates phone, then tries address, then zone.</t>
  </si>
  <si>
    <t xml:space="preserve">phone 200; address 422; zone 422</t>
  </si>
  <si>
    <t xml:space="preserve">tests/full/test_full_auth.py::test_driver_can_update_phone_only</t>
  </si>
  <si>
    <t xml:space="preserve">F-BKG-01</t>
  </si>
  <si>
    <t xml:space="preserve">B1, 4.4</t>
  </si>
  <si>
    <t xml:space="preserve">Create a booking and inspect it.</t>
  </si>
  <si>
    <t xml:space="preserve">all BookingRead keys; status BOOKED; trip_id/trip/cancelled_at null</t>
  </si>
  <si>
    <t xml:space="preserve">tests/full/test_full_bookings.py::test_booking_response_shape</t>
  </si>
  <si>
    <t xml:space="preserve">F-BKG-02</t>
  </si>
  <si>
    <t xml:space="preserve">BR-01</t>
  </si>
  <si>
    <t xml:space="preserve">Book PICKUP and DROP on Saturday / Sunday.</t>
  </si>
  <si>
    <t xml:space="preserve">422 for both slots</t>
  </si>
  <si>
    <t xml:space="preserve">tests/full/test_full_bookings.py::test_weekend_rejected</t>
  </si>
  <si>
    <t xml:space="preserve">F-BKG-03</t>
  </si>
  <si>
    <t xml:space="preserve">BR-02</t>
  </si>
  <si>
    <t xml:space="preserve">Book DROP for yesterday (Thu 24-Sep).</t>
  </si>
  <si>
    <t xml:space="preserve">tests/full/test_full_bookings.py::test_past_date_rejected</t>
  </si>
  <si>
    <t xml:space="preserve">F-BKG-04</t>
  </si>
  <si>
    <t xml:space="preserve">BR-02 (today .. today+7 inclusive)</t>
  </si>
  <si>
    <t xml:space="preserve">Now Mon 28-Sep 10:00. Book Mon 05-Oct (+7) and Tue 06-Oct (+8).</t>
  </si>
  <si>
    <t xml:space="preserve">+7 -&gt; 201; +8 -&gt; 422</t>
  </si>
  <si>
    <t xml:space="preserve">tests/full/test_full_bookings.py::test_booking_horizon_seven_days</t>
  </si>
  <si>
    <t xml:space="preserve">F-BKG-05</t>
  </si>
  <si>
    <t xml:space="preserve">BR-02, BR-04</t>
  </si>
  <si>
    <t xml:space="preserve">Now Fri 10:00. Book today's DROP and today's PICKUP.</t>
  </si>
  <si>
    <t xml:space="preserve">DROP 201 (before 14:00); PICKUP 422 (cut-off was 21:00 yesterday)</t>
  </si>
  <si>
    <t xml:space="preserve">tests/full/test_full_bookings.py::test_same_day_booking</t>
  </si>
  <si>
    <t xml:space="preserve">F-BKG-06</t>
  </si>
  <si>
    <t xml:space="preserve">BR-04 PICKUP cut-off 21:00 previous day</t>
  </si>
  <si>
    <t xml:space="preserve">Book Tue PICKUP at Mon 20:59:59 / 21:00:00 / 23:30.</t>
  </si>
  <si>
    <t xml:space="preserve">201 / 422 / 422</t>
  </si>
  <si>
    <t xml:space="preserve">tests/full/test_full_bookings.py::test_pickup_cutoff_boundary</t>
  </si>
  <si>
    <t xml:space="preserve">F-BKG-07</t>
  </si>
  <si>
    <t xml:space="preserve">BR-04 (previous CALENDAR day, even if weekend)</t>
  </si>
  <si>
    <t xml:space="preserve">Book Mon PICKUP at Sun 20:59 and at Sun 21:00.</t>
  </si>
  <si>
    <t xml:space="preserve">201 then 422</t>
  </si>
  <si>
    <t xml:space="preserve">tests/full/test_full_bookings.py::test_pickup_cutoff_for_monday_is_sunday_night</t>
  </si>
  <si>
    <t xml:space="preserve">F-BKG-08</t>
  </si>
  <si>
    <t xml:space="preserve">BR-04 DROP cut-off 14:00 same day</t>
  </si>
  <si>
    <t xml:space="preserve">Book Mon DROP at Mon 13:59:59 / 14:00:00 / 16:45.</t>
  </si>
  <si>
    <t xml:space="preserve">tests/full/test_full_bookings.py::test_drop_cutoff_boundary</t>
  </si>
  <si>
    <t xml:space="preserve">F-BKG-09</t>
  </si>
  <si>
    <t xml:space="preserve">BR-04</t>
  </si>
  <si>
    <t xml:space="preserve">At Mon 15:00 book Tue DROP (Mon's 14:00 cut-off must not apply).</t>
  </si>
  <si>
    <t xml:space="preserve">201</t>
  </si>
  <si>
    <t xml:space="preserve">tests/full/test_full_bookings.py::test_drop_for_tomorrow_after_todays_cutoff</t>
  </si>
  <si>
    <t xml:space="preserve">F-BKG-10</t>
  </si>
  <si>
    <t xml:space="preserve">BR-05</t>
  </si>
  <si>
    <t xml:space="preserve">Employee registered without address / zone / both tries to book; then completes profile and retries.</t>
  </si>
  <si>
    <t xml:space="preserve">422 first; 201 after PATCH /auth/me</t>
  </si>
  <si>
    <t xml:space="preserve">tests/full/test_full_bookings.py::test_incomplete_profile</t>
  </si>
  <si>
    <t xml:space="preserve">F-BKG-11</t>
  </si>
  <si>
    <t xml:space="preserve">Book, book again (dup), cancel the first, book again.</t>
  </si>
  <si>
    <t xml:space="preserve">201, 409, 200, 201</t>
  </si>
  <si>
    <t xml:space="preserve">tests/full/test_full_bookings.py::test_duplicate_blocked_but_cancelled_does_not_block</t>
  </si>
  <si>
    <t xml:space="preserve">F-BKG-12</t>
  </si>
  <si>
    <t xml:space="preserve">BR-03 (ASSIGNED is still active)</t>
  </si>
  <si>
    <t xml:space="preserve">Booking already ASSIGNED to a trip; employee books same date/slot again.</t>
  </si>
  <si>
    <t xml:space="preserve">tests/full/test_full_bookings.py::test_duplicate_while_assigned</t>
  </si>
  <si>
    <t xml:space="preserve">F-BKG-13</t>
  </si>
  <si>
    <t xml:space="preserve">BR-03 scope = (employee, date, slot)</t>
  </si>
  <si>
    <t xml:space="preserve">Same employee: MON PICKUP + MON DROP + TUE PICKUP; another employee MON PICKUP.</t>
  </si>
  <si>
    <t xml:space="preserve">all 201</t>
  </si>
  <si>
    <t xml:space="preserve">tests/full/test_full_bookings.py::test_duplicate_scope</t>
  </si>
  <si>
    <t xml:space="preserve">F-BKG-14</t>
  </si>
  <si>
    <t xml:space="preserve">Bad slot, wrong date format, impossible date, missing fields, empty body.</t>
  </si>
  <si>
    <t xml:space="preserve">tests/full/test_full_bookings.py::test_booking_validation</t>
  </si>
  <si>
    <t xml:space="preserve">F-BKG-15</t>
  </si>
  <si>
    <t xml:space="preserve">4.4, Assumption 7</t>
  </si>
  <si>
    <t xml:space="preserve">Book, then change profile address and zone.</t>
  </si>
  <si>
    <t xml:space="preserve">existing booking keeps original address/zone; a new booking uses the new ones</t>
  </si>
  <si>
    <t xml:space="preserve">tests/full/test_full_bookings.py::test_booking_snapshots_address_and_zone</t>
  </si>
  <si>
    <t xml:space="preserve">F-BKG-16</t>
  </si>
  <si>
    <t xml:space="preserve">Employee deactivated after login tries to book.</t>
  </si>
  <si>
    <t xml:space="preserve">tests/full/test_full_bookings.py::test_deactivated_employee_cannot_book</t>
  </si>
  <si>
    <t xml:space="preserve">F-BKG-17</t>
  </si>
  <si>
    <t xml:space="preserve">B2, ownership</t>
  </si>
  <si>
    <t xml:space="preserve">Two employees have bookings.</t>
  </si>
  <si>
    <t xml:space="preserve">each sees only their own; total counts only own</t>
  </si>
  <si>
    <t xml:space="preserve">tests/full/test_full_bookings.py::test_my_bookings_only_own</t>
  </si>
  <si>
    <t xml:space="preserve">F-BKG-18</t>
  </si>
  <si>
    <t xml:space="preserve">B2 default travel_date desc (ties by id asc)</t>
  </si>
  <si>
    <t xml:space="preserve">List without params.</t>
  </si>
  <si>
    <t xml:space="preserve">WED, TUE, MON-PICKUP, MON-DROP</t>
  </si>
  <si>
    <t xml:space="preserve">tests/full/test_full_bookings.py::test_my_bookings_default_sort_travel_date_desc</t>
  </si>
  <si>
    <t xml:space="preserve">F-BKG-19</t>
  </si>
  <si>
    <t xml:space="preserve">B2 sort</t>
  </si>
  <si>
    <t xml:space="preserve">sort_by=travel_date&amp;order=asc.</t>
  </si>
  <si>
    <t xml:space="preserve">MON-PICKUP, MON-DROP, TUE, WED</t>
  </si>
  <si>
    <t xml:space="preserve">tests/full/test_full_bookings.py::test_my_bookings_sort_asc</t>
  </si>
  <si>
    <t xml:space="preserve">F-BKG-20</t>
  </si>
  <si>
    <t xml:space="preserve">B2 filters slot, status, date_from, date_to</t>
  </si>
  <si>
    <t xml:space="preserve">slot=DROP; status=CANCELLED; date range MON..TUE; date_from=TUE; slot+status combined.</t>
  </si>
  <si>
    <t xml:space="preserve">exactly the matching bookings in each case (range inclusive)</t>
  </si>
  <si>
    <t xml:space="preserve">tests/full/test_full_bookings.py::test_my_bookings_filters</t>
  </si>
  <si>
    <t xml:space="preserve">F-BKG-21</t>
  </si>
  <si>
    <t xml:space="preserve">5.3, 5.4</t>
  </si>
  <si>
    <t xml:space="preserve">date_from &gt; date_to, non-whitelisted sort, bad enum values.</t>
  </si>
  <si>
    <t xml:space="preserve">tests/full/test_full_bookings.py::test_my_bookings_invalid_params</t>
  </si>
  <si>
    <t xml:space="preserve">F-BKG-22</t>
  </si>
  <si>
    <t xml:space="preserve">B2 trip summary</t>
  </si>
  <si>
    <t xml:space="preserve">One booking assigned to a trip, one not.</t>
  </si>
  <si>
    <t xml:space="preserve">assigned item has trip {id, cab_registration_no, driver_name, driver_phone}; other has trip null</t>
  </si>
  <si>
    <t xml:space="preserve">tests/full/test_full_bookings.py::test_my_bookings_trip_summary</t>
  </si>
  <si>
    <t xml:space="preserve">F-BKG-23</t>
  </si>
  <si>
    <t xml:space="preserve">B3, BR-12 style ownership</t>
  </si>
  <si>
    <t xml:space="preserve">Employee B opens employee A's booking.</t>
  </si>
  <si>
    <t xml:space="preserve">404 (not 403)</t>
  </si>
  <si>
    <t xml:space="preserve">tests/full/test_full_bookings.py::test_detail_other_employee_is_404</t>
  </si>
  <si>
    <t xml:space="preserve">F-BKG-24</t>
  </si>
  <si>
    <t xml:space="preserve">Admin opens any booking; anyone opens unknown id.</t>
  </si>
  <si>
    <t xml:space="preserve">200; unknown -&gt; 404</t>
  </si>
  <si>
    <t xml:space="preserve">tests/full/test_full_bookings.py::test_detail_admin_any_and_unknown</t>
  </si>
  <si>
    <t xml:space="preserve">F-BKG-25</t>
  </si>
  <si>
    <t xml:space="preserve">BR-06 cancel until 1 h before departure</t>
  </si>
  <si>
    <t xml:space="preserve">Cancel Mon PICKUP at 05:29:59 / 05:30:00 / 07:00 and Mon DROP at 15:29:59 / 15:30:00.</t>
  </si>
  <si>
    <t xml:space="preserve">200 / 422 / 422 / 200 / 422</t>
  </si>
  <si>
    <t xml:space="preserve">tests/full/test_full_bookings.py::test_employee_cancel_cutoff</t>
  </si>
  <si>
    <t xml:space="preserve">F-BKG-26</t>
  </si>
  <si>
    <t xml:space="preserve">4.4</t>
  </si>
  <si>
    <t xml:space="preserve">Cancel a booking.</t>
  </si>
  <si>
    <t xml:space="preserve">status CANCELLED and cancelled_at not null</t>
  </si>
  <si>
    <t xml:space="preserve">tests/full/test_full_bookings.py::test_cancel_sets_cancelled_at</t>
  </si>
  <si>
    <t xml:space="preserve">F-BKG-27</t>
  </si>
  <si>
    <t xml:space="preserve">B4</t>
  </si>
  <si>
    <t xml:space="preserve">Cancel the same booking twice.</t>
  </si>
  <si>
    <t xml:space="preserve">tests/full/test_full_bookings.py::test_cancel_twice</t>
  </si>
  <si>
    <t xml:space="preserve">F-BKG-28</t>
  </si>
  <si>
    <t xml:space="preserve">B4 ownership</t>
  </si>
  <si>
    <t xml:space="preserve">Employee B cancels employee A's booking; unknown id.</t>
  </si>
  <si>
    <t xml:space="preserve">404 and A's booking unchanged</t>
  </si>
  <si>
    <t xml:space="preserve">tests/full/test_full_bookings.py::test_cancel_other_employees_booking</t>
  </si>
  <si>
    <t xml:space="preserve">F-BKG-29</t>
  </si>
  <si>
    <t xml:space="preserve">BR-06 seat freed</t>
  </si>
  <si>
    <t xml:space="preserve">2 passengers on a 4-seat trip; one cancels.</t>
  </si>
  <si>
    <t xml:space="preserve">booking CANCELLED with trip_id null; trip seats_booked 1, seats_available 3; passenger list has 1</t>
  </si>
  <si>
    <t xml:space="preserve">tests/full/test_full_bookings.py::test_cancel_assigned_frees_seat</t>
  </si>
  <si>
    <t xml:space="preserve">F-BKG-30</t>
  </si>
  <si>
    <t xml:space="preserve">PATCH /bookings/{id}/cancel + POST /trips/{id}/bookings</t>
  </si>
  <si>
    <t xml:space="preserve">BR-06, BR-09</t>
  </si>
  <si>
    <t xml:space="preserve">Full 2-seat trip; one passenger cancels; admin assigns a new booking.</t>
  </si>
  <si>
    <t xml:space="preserve">assignment 200 (seat really freed)</t>
  </si>
  <si>
    <t xml:space="preserve">tests/full/test_full_bookings.py::test_freed_seat_can_be_reused</t>
  </si>
  <si>
    <t xml:space="preserve">F-BKG-31</t>
  </si>
  <si>
    <t xml:space="preserve">B4 (admin not bound by cut-off)</t>
  </si>
  <si>
    <t xml:space="preserve">At Mon 05:45 (after employee cut-off, trip still SCHEDULED) admin cancels an assigned booking.</t>
  </si>
  <si>
    <t xml:space="preserve">200 CANCELLED</t>
  </si>
  <si>
    <t xml:space="preserve">tests/full/test_full_bookings.py::test_admin_can_cancel_after_employee_cutoff</t>
  </si>
  <si>
    <t xml:space="preserve">F-BKG-32</t>
  </si>
  <si>
    <t xml:space="preserve">B4 (admin: before trip starts)</t>
  </si>
  <si>
    <t xml:space="preserve">Trip IN_PROGRESS; admin cancels an ASSIGNED passenger.</t>
  </si>
  <si>
    <t xml:space="preserve">tests/full/test_full_bookings.py::test_cannot_cancel_once_trip_started</t>
  </si>
  <si>
    <t xml:space="preserve">F-BKG-33</t>
  </si>
  <si>
    <t xml:space="preserve">state machine 2.4</t>
  </si>
  <si>
    <t xml:space="preserve">Booking in BOARDED / NO_SHOW / COMPLETED; admin tries to cancel.</t>
  </si>
  <si>
    <t xml:space="preserve">tests/full/test_full_bookings.py::test_cannot_cancel_finished_booking</t>
  </si>
  <si>
    <t xml:space="preserve">F-BKG-34</t>
  </si>
  <si>
    <t xml:space="preserve">B5 filters</t>
  </si>
  <si>
    <t xml:space="preserve">travel_date, slot, zone, status, employee_id, unassigned=true, q (name / employee_code).</t>
  </si>
  <si>
    <t xml:space="preserve">exact matching sets; unassigned excludes ASSIGNED and CANCELLED</t>
  </si>
  <si>
    <t xml:space="preserve">tests/full/test_full_bookings.py::test_admin_list_filters</t>
  </si>
  <si>
    <t xml:space="preserve">F-BKG-35</t>
  </si>
  <si>
    <t xml:space="preserve">B5, 5.4 (AND) — the demo-script query</t>
  </si>
  <si>
    <t xml:space="preserve">travel_date=MON &amp; slot=PICKUP &amp; zone=EAST &amp; unassigned=true.</t>
  </si>
  <si>
    <t xml:space="preserve">only Kavya's MON PICKUP; total 1</t>
  </si>
  <si>
    <t xml:space="preserve">tests/full/test_full_bookings.py::test_admin_list_combined_filters_and_total</t>
  </si>
  <si>
    <t xml:space="preserve">F-BKG-36</t>
  </si>
  <si>
    <t xml:space="preserve">B5 sort</t>
  </si>
  <si>
    <t xml:space="preserve">Default (created_at asc), travel_date desc, zone asc.</t>
  </si>
  <si>
    <t xml:space="preserve">creation order; TUE first; EAST bookings before WEST</t>
  </si>
  <si>
    <t xml:space="preserve">tests/full/test_full_bookings.py::test_admin_list_sorting</t>
  </si>
  <si>
    <t xml:space="preserve">F-BKG-37</t>
  </si>
  <si>
    <t xml:space="preserve">Non-whitelisted sort, bad enum, bad bool, bad date, bad int.</t>
  </si>
  <si>
    <t xml:space="preserve">tests/full/test_full_bookings.py::test_admin_list_invalid_params</t>
  </si>
  <si>
    <t xml:space="preserve">F-CAB-01</t>
  </si>
  <si>
    <t xml:space="preserve">4.2 regex ^[A-Z]{2}\d{2}[A-Z]{1,2}\d{4}$</t>
  </si>
  <si>
    <t xml:space="preserve">Eight malformed registration numbers.</t>
  </si>
  <si>
    <t xml:space="preserve">tests/full/test_full_cabs.py::test_invalid_registration</t>
  </si>
  <si>
    <t xml:space="preserve">F-CAB-02</t>
  </si>
  <si>
    <t xml:space="preserve">4.2</t>
  </si>
  <si>
    <t xml:space="preserve">Single-letter series 'KA01A1234'; lower-case input 'mh12de3456'.</t>
  </si>
  <si>
    <t xml:space="preserve">201 and registration stored upper-case</t>
  </si>
  <si>
    <t xml:space="preserve">tests/full/test_full_cabs.py::test_valid_registration_variants</t>
  </si>
  <si>
    <t xml:space="preserve">F-CAB-03</t>
  </si>
  <si>
    <t xml:space="preserve">Create 'KA01AB1111' then 'ka01ab1111'.</t>
  </si>
  <si>
    <t xml:space="preserve">tests/full/test_full_cabs.py::test_duplicate_registration_after_normalisation</t>
  </si>
  <si>
    <t xml:space="preserve">F-CAB-04</t>
  </si>
  <si>
    <t xml:space="preserve">4.2 capacity 1–12</t>
  </si>
  <si>
    <t xml:space="preserve">Capacity 0, -1, 13, 1, 12, 'four'.</t>
  </si>
  <si>
    <t xml:space="preserve">422 outside 1–12 or non-integer; 201 at the boundaries</t>
  </si>
  <si>
    <t xml:space="preserve">tests/full/test_full_cabs.py::test_capacity_bounds</t>
  </si>
  <si>
    <t xml:space="preserve">F-CAB-05</t>
  </si>
  <si>
    <t xml:space="preserve">Missing model / 51-char model / missing capacity / missing registration.</t>
  </si>
  <si>
    <t xml:space="preserve">tests/full/test_full_cabs.py::test_cab_required_fields</t>
  </si>
  <si>
    <t xml:space="preserve">F-CAB-06</t>
  </si>
  <si>
    <t xml:space="preserve">4.2 default is_active</t>
  </si>
  <si>
    <t xml:space="preserve">Create a cab without is_active.</t>
  </si>
  <si>
    <t xml:space="preserve">is_active true and id/created_at present</t>
  </si>
  <si>
    <t xml:space="preserve">tests/full/test_full_cabs.py::test_new_cab_is_active</t>
  </si>
  <si>
    <t xml:space="preserve">F-CAB-07</t>
  </si>
  <si>
    <t xml:space="preserve">GET/PATCH /cabs/{id}</t>
  </si>
  <si>
    <t xml:space="preserve">C3, C4</t>
  </si>
  <si>
    <t xml:space="preserve">Unknown cab id.</t>
  </si>
  <si>
    <t xml:space="preserve">404 for both</t>
  </si>
  <si>
    <t xml:space="preserve">tests/full/test_full_cabs.py::test_get_and_patch_unknown_cab</t>
  </si>
  <si>
    <t xml:space="preserve">F-CAB-08</t>
  </si>
  <si>
    <t xml:space="preserve">Invalid capacity or empty model.</t>
  </si>
  <si>
    <t xml:space="preserve">tests/full/test_full_cabs.py::test_patch_validation</t>
  </si>
  <si>
    <t xml:space="preserve">F-CAB-09</t>
  </si>
  <si>
    <t xml:space="preserve">Patch only the model.</t>
  </si>
  <si>
    <t xml:space="preserve">capacity and registration unchanged</t>
  </si>
  <si>
    <t xml:space="preserve">tests/full/test_full_cabs.py::test_patch_partial_keeps_other_fields</t>
  </si>
  <si>
    <t xml:space="preserve">F-CAB-10</t>
  </si>
  <si>
    <t xml:space="preserve">Cab (cap 4) has 3 passengers on a SCHEDULED trip; set capacity 2, then 3.</t>
  </si>
  <si>
    <t xml:space="preserve">capacity 2 -&gt; 409 (unchanged); capacity 3 -&gt; 200</t>
  </si>
  <si>
    <t xml:space="preserve">tests/full/test_full_cabs.py::test_reduce_capacity_below_assigned_seats</t>
  </si>
  <si>
    <t xml:space="preserve">F-CAB-11</t>
  </si>
  <si>
    <t xml:space="preserve">C4 (only SCHEDULED trips count)</t>
  </si>
  <si>
    <t xml:space="preserve">Cab's only trip with 3 passengers is COMPLETED; set capacity 1.</t>
  </si>
  <si>
    <t xml:space="preserve">tests/full/test_full_cabs.py::test_reduce_capacity_allowed_when_trip_completed</t>
  </si>
  <si>
    <t xml:space="preserve">F-CAB-12</t>
  </si>
  <si>
    <t xml:space="preserve">C4, BR-17</t>
  </si>
  <si>
    <t xml:space="preserve">Deactivate a cab, then filter lists and try to use it for a trip.</t>
  </si>
  <si>
    <t xml:space="preserve">shows under is_active=false only; trip creation 422</t>
  </si>
  <si>
    <t xml:space="preserve">tests/full/test_full_cabs.py::test_deactivate_cab</t>
  </si>
  <si>
    <t xml:space="preserve">F-CAB-13</t>
  </si>
  <si>
    <t xml:space="preserve">C2 min_capacity, q</t>
  </si>
  <si>
    <t xml:space="preserve">Cabs: 4-seat Dzire, 6-seat Innova, 7-seat Ertiga.</t>
  </si>
  <si>
    <t xml:space="preserve">min_capacity=6 -&gt; Innova+Ertiga; q='innova' (any case) -&gt; Innova; q=reg fragment -&gt; that cab</t>
  </si>
  <si>
    <t xml:space="preserve">tests/full/test_full_cabs.py::test_list_filters_min_capacity_and_q</t>
  </si>
  <si>
    <t xml:space="preserve">F-CAB-14</t>
  </si>
  <si>
    <t xml:space="preserve">C2 sort</t>
  </si>
  <si>
    <t xml:space="preserve">Default sort (registration_no asc), capacity desc, created_at desc.</t>
  </si>
  <si>
    <t xml:space="preserve">correct order each time</t>
  </si>
  <si>
    <t xml:space="preserve">tests/full/test_full_cabs.py::test_list_sorting</t>
  </si>
  <si>
    <t xml:space="preserve">F-CAB-15</t>
  </si>
  <si>
    <t xml:space="preserve">5.3</t>
  </si>
  <si>
    <t xml:space="preserve">Non-whitelisted sort_by, invalid order, non-integer min_capacity.</t>
  </si>
  <si>
    <t xml:space="preserve">tests/full/test_full_cabs.py::test_list_invalid_params</t>
  </si>
  <si>
    <t xml:space="preserve">F-CAB-16</t>
  </si>
  <si>
    <t xml:space="preserve">C2 available_on + slot (DEV-16)</t>
  </si>
  <si>
    <t xml:space="preserve">busy cab on MON PICKUP; cab with DROP trip only; cab whose trip was cancelled; inactive cab; free cab.</t>
  </si>
  <si>
    <t xml:space="preserve">available_on=MON&amp;slot=PICKUP returns exactly: drop-only cab, cancelled-trip cab, free cab</t>
  </si>
  <si>
    <t xml:space="preserve">tests/full/test_full_cabs.py::test_available_on_filter</t>
  </si>
  <si>
    <t xml:space="preserve">F-CAB-17</t>
  </si>
  <si>
    <t xml:space="preserve">Supply only one of available_on / slot.</t>
  </si>
  <si>
    <t xml:space="preserve">tests/full/test_full_cabs.py::test_available_on_requires_both</t>
  </si>
  <si>
    <t xml:space="preserve">F-DRV-01</t>
  </si>
  <si>
    <t xml:space="preserve">D1, BR-12</t>
  </si>
  <si>
    <t xml:space="preserve">Two drivers, each with trips.</t>
  </si>
  <si>
    <t xml:space="preserve">each driver lists only their own trips</t>
  </si>
  <si>
    <t xml:space="preserve">tests/full/test_full_driver.py::test_driver_sees_only_own_trips</t>
  </si>
  <si>
    <t xml:space="preserve">F-DRV-02</t>
  </si>
  <si>
    <t xml:space="preserve">D1 default travel_date desc; filters travel_date, status, slot</t>
  </si>
  <si>
    <t xml:space="preserve">Driver has MON PICKUP, MON DROP, TUE PICKUP (cancelled).</t>
  </si>
  <si>
    <t xml:space="preserve">TUE first; filters return exact sets</t>
  </si>
  <si>
    <t xml:space="preserve">tests/full/test_full_driver.py::test_driver_trips_default_sort_and_filters</t>
  </si>
  <si>
    <t xml:space="preserve">F-DRV-03</t>
  </si>
  <si>
    <t xml:space="preserve">BR-12 (404 not 403)</t>
  </si>
  <si>
    <t xml:space="preserve">Driver B opens driver A's trip; unknown trip.</t>
  </si>
  <si>
    <t xml:space="preserve">tests/full/test_full_driver.py::test_manifest_of_other_driver_is_404</t>
  </si>
  <si>
    <t xml:space="preserve">F-DRV-04</t>
  </si>
  <si>
    <t xml:space="preserve">Manifest for a trip with 2 passengers.</t>
  </si>
  <si>
    <t xml:space="preserve">passengers carry employee_name, employee_phone, pickup_drop_address, status ASSIGNED</t>
  </si>
  <si>
    <t xml:space="preserve">tests/full/test_full_driver.py::test_manifest_contents</t>
  </si>
  <si>
    <t xml:space="preserve">F-DRV-05</t>
  </si>
  <si>
    <t xml:space="preserve">D3 (travel date, from 30 min before departure)</t>
  </si>
  <si>
    <t xml:space="preserve">PICKUP at 05:59:59 / 06:00:00 / 06:45; DROP at 15:59:59 / 16:00:00; PICKUP 3 days early; PICKUP next day.</t>
  </si>
  <si>
    <t xml:space="preserve">422 / 200 / 200 / 422 / 200 / 422 / 422</t>
  </si>
  <si>
    <t xml:space="preserve">tests/full/test_full_driver.py::test_start_window</t>
  </si>
  <si>
    <t xml:space="preserve">F-DRV-06</t>
  </si>
  <si>
    <t xml:space="preserve">Start a trip.</t>
  </si>
  <si>
    <t xml:space="preserve">started_at set; employee's booking trip summary status IN_PROGRESS</t>
  </si>
  <si>
    <t xml:space="preserve">tests/full/test_full_driver.py::test_start_sets_started_at_and_employee_sees_it</t>
  </si>
  <si>
    <t xml:space="preserve">F-DRV-07</t>
  </si>
  <si>
    <t xml:space="preserve">BR-13</t>
  </si>
  <si>
    <t xml:space="preserve">Start an IN_PROGRESS trip again; start a CANCELLED trip.</t>
  </si>
  <si>
    <t xml:space="preserve">409 for both</t>
  </si>
  <si>
    <t xml:space="preserve">tests/full/test_full_driver.py::test_start_twice_or_cancelled</t>
  </si>
  <si>
    <t xml:space="preserve">F-DRV-08</t>
  </si>
  <si>
    <t xml:space="preserve">BR-12</t>
  </si>
  <si>
    <t xml:space="preserve">Driver B tries to start driver A's trip inside the window.</t>
  </si>
  <si>
    <t xml:space="preserve">404 and trip stays SCHEDULED</t>
  </si>
  <si>
    <t xml:space="preserve">tests/full/test_full_driver.py::test_start_other_drivers_trip</t>
  </si>
  <si>
    <t xml:space="preserve">F-DRV-09</t>
  </si>
  <si>
    <t xml:space="preserve">PATCH /driver/trips/{id}/bookings/{bid}</t>
  </si>
  <si>
    <t xml:space="preserve">BR-14</t>
  </si>
  <si>
    <t xml:space="preserve">Mark BOARDED while trip is SCHEDULED.</t>
  </si>
  <si>
    <t xml:space="preserve">tests/full/test_full_driver.py::test_mark_before_start</t>
  </si>
  <si>
    <t xml:space="preserve">F-DRV-10</t>
  </si>
  <si>
    <t xml:space="preserve">D4 (only BOARDED | NO_SHOW)</t>
  </si>
  <si>
    <t xml:space="preserve">Send CANCELLED / COMPLETED / ASSIGNED / lower-case / empty.</t>
  </si>
  <si>
    <t xml:space="preserve">tests/full/test_full_driver.py::test_mark_invalid_status_value</t>
  </si>
  <si>
    <t xml:space="preserve">F-DRV-11</t>
  </si>
  <si>
    <t xml:space="preserve">Mark a passenger NO_SHOW.</t>
  </si>
  <si>
    <t xml:space="preserve">200 and booking status NO_SHOW</t>
  </si>
  <si>
    <t xml:space="preserve">tests/full/test_full_driver.py::test_mark_no_show</t>
  </si>
  <si>
    <t xml:space="preserve">F-DRV-12</t>
  </si>
  <si>
    <t xml:space="preserve">D4 (only ASSIGNED can be marked)</t>
  </si>
  <si>
    <t xml:space="preserve">Mark BOARDED, then BOARDED again, then NO_SHOW.</t>
  </si>
  <si>
    <t xml:space="preserve">200, 409, 409; final status BOARDED</t>
  </si>
  <si>
    <t xml:space="preserve">tests/full/test_full_driver.py::test_mark_twice</t>
  </si>
  <si>
    <t xml:space="preserve">F-DRV-13</t>
  </si>
  <si>
    <t xml:space="preserve">Booking from another trip; unknown booking.</t>
  </si>
  <si>
    <t xml:space="preserve">tests/full/test_full_driver.py::test_mark_booking_not_on_trip</t>
  </si>
  <si>
    <t xml:space="preserve">F-DRV-14</t>
  </si>
  <si>
    <t xml:space="preserve">Driver B marks a passenger on driver A's in-progress trip.</t>
  </si>
  <si>
    <t xml:space="preserve">404 and booking still ASSIGNED</t>
  </si>
  <si>
    <t xml:space="preserve">tests/full/test_full_driver.py::test_mark_on_other_drivers_trip</t>
  </si>
  <si>
    <t xml:space="preserve">F-DRV-15</t>
  </si>
  <si>
    <t xml:space="preserve">BR-15</t>
  </si>
  <si>
    <t xml:space="preserve">3 passengers: one BOARDED, one NO_SHOW, one left unmarked; complete.</t>
  </si>
  <si>
    <t xml:space="preserve">BOARDED-&gt;COMPLETED, NO_SHOW stays, unmarked ASSIGNED-&gt;NO_SHOW; completed_at set</t>
  </si>
  <si>
    <t xml:space="preserve">tests/full/test_full_driver.py::test_complete_transitions</t>
  </si>
  <si>
    <t xml:space="preserve">F-DRV-16</t>
  </si>
  <si>
    <t xml:space="preserve">Complete a SCHEDULED trip; complete a COMPLETED trip.</t>
  </si>
  <si>
    <t xml:space="preserve">409 both times</t>
  </si>
  <si>
    <t xml:space="preserve">tests/full/test_full_driver.py::test_complete_requires_in_progress</t>
  </si>
  <si>
    <t xml:space="preserve">F-DRV-17</t>
  </si>
  <si>
    <t xml:space="preserve">Driver B completes driver A's in-progress trip.</t>
  </si>
  <si>
    <t xml:space="preserve">404 and trip still IN_PROGRESS</t>
  </si>
  <si>
    <t xml:space="preserve">tests/full/test_full_driver.py::test_complete_other_drivers_trip</t>
  </si>
  <si>
    <t xml:space="preserve">F-DRV-18</t>
  </si>
  <si>
    <t xml:space="preserve">Try to mark a passenger after the trip is COMPLETED.</t>
  </si>
  <si>
    <t xml:space="preserve">tests/full/test_full_driver.py::test_mark_after_complete</t>
  </si>
  <si>
    <t xml:space="preserve">F-DRV-19</t>
  </si>
  <si>
    <t xml:space="preserve">start + complete</t>
  </si>
  <si>
    <t xml:space="preserve">edge case</t>
  </si>
  <si>
    <t xml:space="preserve">Trip with zero passengers goes through start and complete.</t>
  </si>
  <si>
    <t xml:space="preserve">200 for both; final status COMPLETED</t>
  </si>
  <si>
    <t xml:space="preserve">tests/full/test_full_driver.py::test_empty_trip_lifecycle</t>
  </si>
  <si>
    <t xml:space="preserve">F-E2E-01</t>
  </si>
  <si>
    <t xml:space="preserve">Section 11 demo script</t>
  </si>
  <si>
    <t xml:space="preserve">BR-01…BR-15</t>
  </si>
  <si>
    <t xml:space="preserve">Runs all 17 demo steps in order with the fake clock.</t>
  </si>
  <si>
    <t xml:space="preserve">every step returns exactly the status/result listed in section 11</t>
  </si>
  <si>
    <t xml:space="preserve">tests/full/test_full_flows.py::test_acceptance_demo_script</t>
  </si>
  <si>
    <t xml:space="preserve">F-E2E-02</t>
  </si>
  <si>
    <t xml:space="preserve">cancel trip -&gt; re-assign</t>
  </si>
  <si>
    <t xml:space="preserve">BR-16, BR-07, BR-10</t>
  </si>
  <si>
    <t xml:space="preserve">Trip with 2 passengers cancelled; new trip created with the SAME cab and driver; passengers re-assigned.</t>
  </si>
  <si>
    <t xml:space="preserve">all steps succeed; passengers show the new trip id</t>
  </si>
  <si>
    <t xml:space="preserve">tests/full/test_full_flows.py::test_reassign_after_trip_cancel</t>
  </si>
  <si>
    <t xml:space="preserve">F-E2E-03</t>
  </si>
  <si>
    <t xml:space="preserve">full day</t>
  </si>
  <si>
    <t xml:space="preserve">slots independent</t>
  </si>
  <si>
    <t xml:space="preserve">Employee rides PICKUP trip and DROP trip on the same day with different cabs/drivers.</t>
  </si>
  <si>
    <t xml:space="preserve">both bookings end COMPLETED; driver lists and statuses independent</t>
  </si>
  <si>
    <t xml:space="preserve">tests/full/test_full_flows.py::test_pickup_and_drop_same_day_same_employee</t>
  </si>
  <si>
    <t xml:space="preserve">F-E2E-04</t>
  </si>
  <si>
    <t xml:space="preserve">soft delete</t>
  </si>
  <si>
    <t xml:space="preserve">BR-06, BR-17</t>
  </si>
  <si>
    <t xml:space="preserve">Cancel booking, cancel trip, deactivate user and cab.</t>
  </si>
  <si>
    <t xml:space="preserve">all still retrievable by id afterwards</t>
  </si>
  <si>
    <t xml:space="preserve">tests/full/test_full_flows.py::test_no_hard_deletes</t>
  </si>
  <si>
    <t xml:space="preserve">F-E2E-05</t>
  </si>
  <si>
    <t xml:space="preserve">robustness</t>
  </si>
  <si>
    <t xml:space="preserve">5.5</t>
  </si>
  <si>
    <t xml:space="preserve">Non-integer path ids on detail endpoints.</t>
  </si>
  <si>
    <t xml:space="preserve">422 (never 500)</t>
  </si>
  <si>
    <t xml:space="preserve">tests/full/test_full_flows.py::test_no_server_errors_on_garbage_ids</t>
  </si>
  <si>
    <t xml:space="preserve">F-PAG-01</t>
  </si>
  <si>
    <t xml:space="preserve">all 6 list endpoints</t>
  </si>
  <si>
    <t xml:space="preserve">5.2 (page ≥ 1, size 1–100)</t>
  </si>
  <si>
    <t xml:space="preserve">size=0, size=101, page=0, page=-1, size='ten' on every list endpoint.</t>
  </si>
  <si>
    <t xml:space="preserve">422 in all 30 combinations</t>
  </si>
  <si>
    <t xml:space="preserve">tests/full/test_full_pagination.py::test_invalid_page_params</t>
  </si>
  <si>
    <t xml:space="preserve">F-PAG-02</t>
  </si>
  <si>
    <t xml:space="preserve">5.2 defaults</t>
  </si>
  <si>
    <t xml:space="preserve">Call with no params, then size=100.</t>
  </si>
  <si>
    <t xml:space="preserve">page 1, size 10 by default; size=100 accepted</t>
  </si>
  <si>
    <t xml:space="preserve">tests/full/test_full_pagination.py::test_defaults_and_max_size</t>
  </si>
  <si>
    <t xml:space="preserve">F-PAG-03</t>
  </si>
  <si>
    <t xml:space="preserve">5.2</t>
  </si>
  <si>
    <t xml:space="preserve">7 cabs, size=3: pages 1, 2, 3 and 4.</t>
  </si>
  <si>
    <t xml:space="preserve">total 7, pages 3; 3/3/1/0 items; page numbers echoed; no overlap and union = all 7</t>
  </si>
  <si>
    <t xml:space="preserve">tests/full/test_full_pagination.py::test_envelope_math</t>
  </si>
  <si>
    <t xml:space="preserve">F-PAG-04</t>
  </si>
  <si>
    <t xml:space="preserve">No cabs exist.</t>
  </si>
  <si>
    <t xml:space="preserve">total 0, pages 0, items []</t>
  </si>
  <si>
    <t xml:space="preserve">tests/full/test_full_pagination.py::test_empty_result_pages_zero</t>
  </si>
  <si>
    <t xml:space="preserve">F-PAG-05</t>
  </si>
  <si>
    <t xml:space="preserve">5.2 pages = ceil(total/size)</t>
  </si>
  <si>
    <t xml:space="preserve">6 cabs with size=3 and size=4.</t>
  </si>
  <si>
    <t xml:space="preserve">pages 2 in both cases</t>
  </si>
  <si>
    <t xml:space="preserve">tests/full/test_full_pagination.py::test_exact_multiple</t>
  </si>
  <si>
    <t xml:space="preserve">F-PAG-06</t>
  </si>
  <si>
    <t xml:space="preserve">5.2 + 5.4</t>
  </si>
  <si>
    <t xml:space="preserve">Employee books PICKUP+DROP for MON..THU (8), cancels 3 DROP bookings; filter status=BOOKED, size=2.</t>
  </si>
  <si>
    <t xml:space="preserve">total counts filtered rows (5), pages 3, 2 items on page 1</t>
  </si>
  <si>
    <t xml:space="preserve">tests/full/test_full_pagination.py::test_total_reflects_filters_not_page</t>
  </si>
  <si>
    <t xml:space="preserve">F-PAG-07</t>
  </si>
  <si>
    <t xml:space="preserve">5.3 deterministic ordering</t>
  </si>
  <si>
    <t xml:space="preserve">10 cabs with identical capacity, sort_by=capacity, walk pages of 3.</t>
  </si>
  <si>
    <t xml:space="preserve">no duplicates / gaps (tie-break by id)</t>
  </si>
  <si>
    <t xml:space="preserve">tests/full/test_full_pagination.py::test_sorting_is_stable_across_pages</t>
  </si>
  <si>
    <t xml:space="preserve">F-RBAC-01</t>
  </si>
  <si>
    <t xml:space="preserve">every protected endpoint</t>
  </si>
  <si>
    <t xml:space="preserve">DEV-03, 5.5</t>
  </si>
  <si>
    <t xml:space="preserve">Call each of the 26 protected endpoints with no token.</t>
  </si>
  <si>
    <t xml:space="preserve">401 on every one</t>
  </si>
  <si>
    <t xml:space="preserve">tests/full/test_full_rbac.py::test_requires_authentication</t>
  </si>
  <si>
    <t xml:space="preserve">F-RBAC-02</t>
  </si>
  <si>
    <t xml:space="preserve">Section 3 permission matrix</t>
  </si>
  <si>
    <t xml:space="preserve">Call each endpoint with every role that is NOT allowed (IDs need not exist — role check comes first).</t>
  </si>
  <si>
    <t xml:space="preserve">403 for every disallowed role/endpoint pair</t>
  </si>
  <si>
    <t xml:space="preserve">tests/full/test_full_rbac.py::test_role_forbidden</t>
  </si>
  <si>
    <t xml:space="preserve">F-RBAC-03</t>
  </si>
  <si>
    <t xml:space="preserve">POST /auth/register, POST /auth/login, GET /health</t>
  </si>
  <si>
    <t xml:space="preserve">Section 3</t>
  </si>
  <si>
    <t xml:space="preserve">Call the public endpoints with no token.</t>
  </si>
  <si>
    <t xml:space="preserve">none of them returns 401/403</t>
  </si>
  <si>
    <t xml:space="preserve">tests/full/test_full_rbac.py::test_public_endpoints_need_no_token</t>
  </si>
  <si>
    <t xml:space="preserve">F-TRP-01</t>
  </si>
  <si>
    <t xml:space="preserve">T1, 4.3</t>
  </si>
  <si>
    <t xml:space="preserve">Create a trip.</t>
  </si>
  <si>
    <t xml:space="preserve">201 with every TripRead key; started_at/completed_at null</t>
  </si>
  <si>
    <t xml:space="preserve">tests/full/test_full_trips.py::test_trip_response_shape</t>
  </si>
  <si>
    <t xml:space="preserve">F-TRP-02</t>
  </si>
  <si>
    <t xml:space="preserve">T1 applies BR-01, BR-02</t>
  </si>
  <si>
    <t xml:space="preserve">Trip on Saturday, Sunday, a past date, and +10 days (now Fri 25-Sep).</t>
  </si>
  <si>
    <t xml:space="preserve">tests/full/test_full_trips.py::test_trip_date_rules</t>
  </si>
  <si>
    <t xml:space="preserve">F-TRP-03</t>
  </si>
  <si>
    <t xml:space="preserve">Unknown cab id; unknown driver id.</t>
  </si>
  <si>
    <t xml:space="preserve">404 for each</t>
  </si>
  <si>
    <t xml:space="preserve">tests/full/test_full_trips.py::test_trip_unknown_cab_or_driver</t>
  </si>
  <si>
    <t xml:space="preserve">F-TRP-04</t>
  </si>
  <si>
    <t xml:space="preserve">BR-08</t>
  </si>
  <si>
    <t xml:space="preserve">driver_id points to an EMPLOYEE, then to an ADMIN.</t>
  </si>
  <si>
    <t xml:space="preserve">422 for both</t>
  </si>
  <si>
    <t xml:space="preserve">tests/full/test_full_trips.py::test_trip_driver_must_be_driver</t>
  </si>
  <si>
    <t xml:space="preserve">F-TRP-05</t>
  </si>
  <si>
    <t xml:space="preserve">Cab deactivated before trip creation.</t>
  </si>
  <si>
    <t xml:space="preserve">tests/full/test_full_trips.py::test_trip_inactive_cab</t>
  </si>
  <si>
    <t xml:space="preserve">F-TRP-06</t>
  </si>
  <si>
    <t xml:space="preserve">Invalid zone / slot, or missing cab_id / driver_id / travel_date.</t>
  </si>
  <si>
    <t xml:space="preserve">tests/full/test_full_trips.py::test_trip_validation</t>
  </si>
  <si>
    <t xml:space="preserve">F-TRP-07</t>
  </si>
  <si>
    <t xml:space="preserve">BR-07 cab</t>
  </si>
  <si>
    <t xml:space="preserve">Same cab, same date+slot, different driver and zone.</t>
  </si>
  <si>
    <t xml:space="preserve">tests/full/test_full_trips.py::test_cab_double_booking</t>
  </si>
  <si>
    <t xml:space="preserve">F-TRP-08</t>
  </si>
  <si>
    <t xml:space="preserve">BR-07 driver</t>
  </si>
  <si>
    <t xml:space="preserve">Same driver, same date+slot, different cab.</t>
  </si>
  <si>
    <t xml:space="preserve">tests/full/test_full_trips.py::test_driver_double_booking</t>
  </si>
  <si>
    <t xml:space="preserve">F-TRP-09</t>
  </si>
  <si>
    <t xml:space="preserve">BR-07 scope</t>
  </si>
  <si>
    <t xml:space="preserve">Same cab + driver: MON PICKUP, MON DROP, TUE PICKUP.</t>
  </si>
  <si>
    <t xml:space="preserve">tests/full/test_full_trips.py::test_cab_and_driver_reusable_other_slot_or_date</t>
  </si>
  <si>
    <t xml:space="preserve">F-TRP-10</t>
  </si>
  <si>
    <t xml:space="preserve">BR-07 (cancelled trips don't count)</t>
  </si>
  <si>
    <t xml:space="preserve">Create trip, cancel it, create again with same cab and driver.</t>
  </si>
  <si>
    <t xml:space="preserve">tests/full/test_full_trips.py::test_cancelled_trip_frees_cab_and_driver</t>
  </si>
  <si>
    <t xml:space="preserve">F-TRP-11</t>
  </si>
  <si>
    <t xml:space="preserve">T2 filters</t>
  </si>
  <si>
    <t xml:space="preserve">travel_date, date_from/date_to, slot, zone, status, driver_id, cab_id and a combination.</t>
  </si>
  <si>
    <t xml:space="preserve">exact matching sets</t>
  </si>
  <si>
    <t xml:space="preserve">tests/full/test_full_trips.py::test_trip_list_filters</t>
  </si>
  <si>
    <t xml:space="preserve">F-TRP-12</t>
  </si>
  <si>
    <t xml:space="preserve">T2 sort</t>
  </si>
  <si>
    <t xml:space="preserve">Default (travel_date asc) and travel_date desc.</t>
  </si>
  <si>
    <t xml:space="preserve">MON trips before TUE trips, and reverse</t>
  </si>
  <si>
    <t xml:space="preserve">tests/full/test_full_trips.py::test_trip_list_sort</t>
  </si>
  <si>
    <t xml:space="preserve">F-TRP-13</t>
  </si>
  <si>
    <t xml:space="preserve">Reversed date range, non-whitelisted sort, bad enum, bad int.</t>
  </si>
  <si>
    <t xml:space="preserve">tests/full/test_full_trips.py::test_trip_list_invalid_params</t>
  </si>
  <si>
    <t xml:space="preserve">F-TRP-14</t>
  </si>
  <si>
    <t xml:space="preserve">T2 seats_booked / seats_available</t>
  </si>
  <si>
    <t xml:space="preserve">6-seat trip with 2 passengers.</t>
  </si>
  <si>
    <t xml:space="preserve">list item shows seats_booked 2, seats_available 4</t>
  </si>
  <si>
    <t xml:space="preserve">tests/full/test_full_trips.py::test_trip_list_seat_counts</t>
  </si>
  <si>
    <t xml:space="preserve">F-TRP-15</t>
  </si>
  <si>
    <t xml:space="preserve">Trip with 2 passengers; unknown id.</t>
  </si>
  <si>
    <t xml:space="preserve">cab object, driver {id, full_name, phone}, passengers with booking_id/employee_name/employee_phone/pickup_drop_address/status; unknown 404</t>
  </si>
  <si>
    <t xml:space="preserve">tests/full/test_full_trips.py::test_trip_detail</t>
  </si>
  <si>
    <t xml:space="preserve">F-TRP-16</t>
  </si>
  <si>
    <t xml:space="preserve">BR-10</t>
  </si>
  <si>
    <t xml:space="preserve">Assign one booking.</t>
  </si>
  <si>
    <t xml:space="preserve">booking ASSIGNED with trip_id; employee sees trip summary</t>
  </si>
  <si>
    <t xml:space="preserve">tests/full/test_full_trips.py::test_assign_sets_status_and_trip</t>
  </si>
  <si>
    <t xml:space="preserve">F-TRP-17</t>
  </si>
  <si>
    <t xml:space="preserve">Trip is MON/PICKUP/EAST; booking differs in date (TUE), slot (DROP) or zone (WEST).</t>
  </si>
  <si>
    <t xml:space="preserve">409 and booking stays BOOKED</t>
  </si>
  <si>
    <t xml:space="preserve">tests/full/test_full_trips.py::test_assign_mismatch</t>
  </si>
  <si>
    <t xml:space="preserve">F-TRP-18</t>
  </si>
  <si>
    <t xml:space="preserve">BR-10 (status must be BOOKED)</t>
  </si>
  <si>
    <t xml:space="preserve">Booking on trip A is assigned to trip B (same date/slot/zone).</t>
  </si>
  <si>
    <t xml:space="preserve">409 and booking still on trip A</t>
  </si>
  <si>
    <t xml:space="preserve">tests/full/test_full_trips.py::test_assign_already_assigned_booking</t>
  </si>
  <si>
    <t xml:space="preserve">F-TRP-19</t>
  </si>
  <si>
    <t xml:space="preserve">Assign a CANCELLED booking.</t>
  </si>
  <si>
    <t xml:space="preserve">tests/full/test_full_trips.py::test_assign_cancelled_booking</t>
  </si>
  <si>
    <t xml:space="preserve">F-TRP-20</t>
  </si>
  <si>
    <t xml:space="preserve">T4</t>
  </si>
  <si>
    <t xml:space="preserve">Unknown booking id; unknown trip id.</t>
  </si>
  <si>
    <t xml:space="preserve">tests/full/test_full_trips.py::test_assign_unknown_booking_or_trip</t>
  </si>
  <si>
    <t xml:space="preserve">F-TRP-21</t>
  </si>
  <si>
    <t xml:space="preserve">Empty list, missing field, wrong type, duplicate ids.</t>
  </si>
  <si>
    <t xml:space="preserve">tests/full/test_full_trips.py::test_assign_payload_validation</t>
  </si>
  <si>
    <t xml:space="preserve">F-TRP-22</t>
  </si>
  <si>
    <t xml:space="preserve">T4 all-or-nothing</t>
  </si>
  <si>
    <t xml:space="preserve">Assign [valid, valid, wrong-zone].</t>
  </si>
  <si>
    <t xml:space="preserve">409 and the two valid bookings remain BOOKED with trip_id null; trip seats_booked 0</t>
  </si>
  <si>
    <t xml:space="preserve">tests/full/test_full_trips.py::test_assign_is_atomic</t>
  </si>
  <si>
    <t xml:space="preserve">F-TRP-23</t>
  </si>
  <si>
    <t xml:space="preserve">4-seat cab: assign 4 (exact) then 1 more.</t>
  </si>
  <si>
    <t xml:space="preserve">200 with seats_available 0; then 409</t>
  </si>
  <si>
    <t xml:space="preserve">tests/full/test_full_trips.py::test_capacity_exact_fill_then_overflow</t>
  </si>
  <si>
    <t xml:space="preserve">F-TRP-24</t>
  </si>
  <si>
    <t xml:space="preserve">BR-09 (counts seats already taken)</t>
  </si>
  <si>
    <t xml:space="preserve">4-seat cab: assign 2, then assign 3 more.</t>
  </si>
  <si>
    <t xml:space="preserve">200 then 409; none of the 3 assigned (still BOOKED)</t>
  </si>
  <si>
    <t xml:space="preserve">tests/full/test_full_trips.py::test_capacity_incremental</t>
  </si>
  <si>
    <t xml:space="preserve">F-TRP-25</t>
  </si>
  <si>
    <t xml:space="preserve">BR-11</t>
  </si>
  <si>
    <t xml:space="preserve">Trip CANCELLED / IN_PROGRESS / COMPLETED; assign a matching BOOKED booking.</t>
  </si>
  <si>
    <t xml:space="preserve">tests/full/test_full_trips.py::test_assign_to_non_scheduled_trip</t>
  </si>
  <si>
    <t xml:space="preserve">F-TRP-26</t>
  </si>
  <si>
    <t xml:space="preserve">Remove booking from trip A, assign it to trip B.</t>
  </si>
  <si>
    <t xml:space="preserve">remove 200/204 (seats_booked on A drops); assign to B 200</t>
  </si>
  <si>
    <t xml:space="preserve">tests/full/test_full_trips.py::test_remove_then_reassign_elsewhere</t>
  </si>
  <si>
    <t xml:space="preserve">F-TRP-27</t>
  </si>
  <si>
    <t xml:space="preserve">Booking that belongs to another trip; unassigned booking; unknown booking; unknown trip.</t>
  </si>
  <si>
    <t xml:space="preserve">404 each</t>
  </si>
  <si>
    <t xml:space="preserve">tests/full/test_full_trips.py::test_remove_booking_not_on_trip</t>
  </si>
  <si>
    <t xml:space="preserve">F-TRP-28</t>
  </si>
  <si>
    <t xml:space="preserve">Trip IN_PROGRESS; remove a passenger.</t>
  </si>
  <si>
    <t xml:space="preserve">409 and passenger still ASSIGNED</t>
  </si>
  <si>
    <t xml:space="preserve">tests/full/test_full_trips.py::test_remove_from_started_trip</t>
  </si>
  <si>
    <t xml:space="preserve">F-TRP-29</t>
  </si>
  <si>
    <t xml:space="preserve">BR-16</t>
  </si>
  <si>
    <t xml:space="preserve">Trip with 3 passengers is cancelled.</t>
  </si>
  <si>
    <t xml:space="preserve">trip CANCELLED; all 3 bookings BOOKED with trip_id null; they appear in unassigned=true</t>
  </si>
  <si>
    <t xml:space="preserve">tests/full/test_full_trips.py::test_cancel_trip_releases_bookings</t>
  </si>
  <si>
    <t xml:space="preserve">F-TRP-30</t>
  </si>
  <si>
    <t xml:space="preserve">BR-16 (only active bookings go back)</t>
  </si>
  <si>
    <t xml:space="preserve">Passenger cancels, then admin cancels the trip.</t>
  </si>
  <si>
    <t xml:space="preserve">that booking remains CANCELLED</t>
  </si>
  <si>
    <t xml:space="preserve">tests/full/test_full_trips.py::test_cancelled_booking_stays_cancelled_when_trip_cancelled</t>
  </si>
  <si>
    <t xml:space="preserve">F-TRP-31</t>
  </si>
  <si>
    <t xml:space="preserve">Cancel a trip that is already CANCELLED / IN_PROGRESS / COMPLETED.</t>
  </si>
  <si>
    <t xml:space="preserve">tests/full/test_full_trips.py::test_cancel_trip_invalid_state</t>
  </si>
  <si>
    <t xml:space="preserve">F-TRP-32</t>
  </si>
  <si>
    <t xml:space="preserve">T6</t>
  </si>
  <si>
    <t xml:space="preserve">Unknown id.</t>
  </si>
  <si>
    <t xml:space="preserve">404</t>
  </si>
  <si>
    <t xml:space="preserve">tests/full/test_full_trips.py::test_cancel_unknown_trip</t>
  </si>
  <si>
    <t xml:space="preserve">F-TRP-33</t>
  </si>
  <si>
    <t xml:space="preserve">T3, BR-06</t>
  </si>
  <si>
    <t xml:space="preserve">3 passengers, one cancels.</t>
  </si>
  <si>
    <t xml:space="preserve">passengers list has 2 and seats_booked 2</t>
  </si>
  <si>
    <t xml:space="preserve">tests/full/test_full_trips.py::test_passenger_list_excludes_cancelled</t>
  </si>
  <si>
    <t xml:space="preserve">F-USR-01</t>
  </si>
  <si>
    <t xml:space="preserve">Admin creates another ADMIN with no license_no.</t>
  </si>
  <si>
    <t xml:space="preserve">201, role ADMIN, and the new admin can log in and list users</t>
  </si>
  <si>
    <t xml:space="preserve">tests/full/test_full_users.py::test_create_admin_without_license</t>
  </si>
  <si>
    <t xml:space="preserve">F-USR-02</t>
  </si>
  <si>
    <t xml:space="preserve">Admin creates a DRIVER; the driver logs in.</t>
  </si>
  <si>
    <t xml:space="preserve">201 with license_no stored; login role DRIVER</t>
  </si>
  <si>
    <t xml:space="preserve">tests/full/test_full_users.py::test_create_driver_can_login</t>
  </si>
  <si>
    <t xml:space="preserve">F-USR-03</t>
  </si>
  <si>
    <t xml:space="preserve">Role EMPLOYEE (employees must self-register), unknown role, lower-case role.</t>
  </si>
  <si>
    <t xml:space="preserve">tests/full/test_full_users.py::test_create_user_invalid_role</t>
  </si>
  <si>
    <t xml:space="preserve">F-USR-04</t>
  </si>
  <si>
    <t xml:space="preserve">Create a DRIVER without license_no.</t>
  </si>
  <si>
    <t xml:space="preserve">tests/full/test_full_users.py::test_create_driver_requires_license</t>
  </si>
  <si>
    <t xml:space="preserve">F-USR-05</t>
  </si>
  <si>
    <t xml:space="preserve">Admin creates a driver using an e-mail an employee already registered (different case).</t>
  </si>
  <si>
    <t xml:space="preserve">tests/full/test_full_users.py::test_create_user_duplicate_email_vs_employee</t>
  </si>
  <si>
    <t xml:space="preserve">F-USR-06</t>
  </si>
  <si>
    <t xml:space="preserve">U1, 4.1 unique license_no</t>
  </si>
  <si>
    <t xml:space="preserve">Two drivers with the same license number.</t>
  </si>
  <si>
    <t xml:space="preserve">tests/full/test_full_users.py::test_create_driver_duplicate_license</t>
  </si>
  <si>
    <t xml:space="preserve">F-USR-07</t>
  </si>
  <si>
    <t xml:space="preserve">U1, 4.1</t>
  </si>
  <si>
    <t xml:space="preserve">Invalid phone, e-mail, password, name.</t>
  </si>
  <si>
    <t xml:space="preserve">tests/full/test_full_users.py::test_create_user_validation</t>
  </si>
  <si>
    <t xml:space="preserve">F-USR-08</t>
  </si>
  <si>
    <t xml:space="preserve">U2 filter role</t>
  </si>
  <si>
    <t xml:space="preserve">role=DRIVER and role=EMPLOYEE.</t>
  </si>
  <si>
    <t xml:space="preserve">only users of that role; total matches</t>
  </si>
  <si>
    <t xml:space="preserve">tests/full/test_full_users.py::test_list_users_filter_role</t>
  </si>
  <si>
    <t xml:space="preserve">F-USR-09</t>
  </si>
  <si>
    <t xml:space="preserve">U2 filter zone</t>
  </si>
  <si>
    <t xml:space="preserve">zone=WEST.</t>
  </si>
  <si>
    <t xml:space="preserve">only the WEST employee</t>
  </si>
  <si>
    <t xml:space="preserve">tests/full/test_full_users.py::test_list_users_filter_zone</t>
  </si>
  <si>
    <t xml:space="preserve">F-USR-10</t>
  </si>
  <si>
    <t xml:space="preserve">U2 filter is_active</t>
  </si>
  <si>
    <t xml:space="preserve">is_active=false then is_active=true.</t>
  </si>
  <si>
    <t xml:space="preserve">false -&gt; only the deactivated user; true -&gt; everyone else (incl. admin)</t>
  </si>
  <si>
    <t xml:space="preserve">tests/full/test_full_users.py::test_list_users_filter_is_active</t>
  </si>
  <si>
    <t xml:space="preserve">F-USR-11</t>
  </si>
  <si>
    <t xml:space="preserve">U2 q (full_name, email, employee_code; case-insensitive)</t>
  </si>
  <si>
    <t xml:space="preserve">Search by partial name, upper-case name, employee_code, e-mail fragment.</t>
  </si>
  <si>
    <t xml:space="preserve">exactly the matching user</t>
  </si>
  <si>
    <t xml:space="preserve">tests/full/test_full_users.py::test_list_users_search</t>
  </si>
  <si>
    <t xml:space="preserve">F-USR-12</t>
  </si>
  <si>
    <t xml:space="preserve">5.4 filters AND</t>
  </si>
  <si>
    <t xml:space="preserve">role=EMPLOYEE &amp; zone=EAST &amp; is_active=true.</t>
  </si>
  <si>
    <t xml:space="preserve">only the active EAST employee</t>
  </si>
  <si>
    <t xml:space="preserve">tests/full/test_full_users.py::test_list_users_filters_combine_with_and</t>
  </si>
  <si>
    <t xml:space="preserve">F-USR-13</t>
  </si>
  <si>
    <t xml:space="preserve">U2 sort full_name</t>
  </si>
  <si>
    <t xml:space="preserve">sort_by=full_name asc and desc.</t>
  </si>
  <si>
    <t xml:space="preserve">alphabetical and reverse-alphabetical order</t>
  </si>
  <si>
    <t xml:space="preserve">tests/full/test_full_users.py::test_list_users_sort_full_name</t>
  </si>
  <si>
    <t xml:space="preserve">F-USR-14</t>
  </si>
  <si>
    <t xml:space="preserve">U2 sort email</t>
  </si>
  <si>
    <t xml:space="preserve">sort_by=email desc.</t>
  </si>
  <si>
    <t xml:space="preserve">e-mails in descending order</t>
  </si>
  <si>
    <t xml:space="preserve">tests/full/test_full_users.py::test_list_users_sort_email</t>
  </si>
  <si>
    <t xml:space="preserve">F-USR-15</t>
  </si>
  <si>
    <t xml:space="preserve">U2 default sort created_at asc (ties by id)</t>
  </si>
  <si>
    <t xml:space="preserve">List without sort params.</t>
  </si>
  <si>
    <t xml:space="preserve">users in creation order (admin first)</t>
  </si>
  <si>
    <t xml:space="preserve">tests/full/test_full_users.py::test_list_users_default_sort_is_creation_order</t>
  </si>
  <si>
    <t xml:space="preserve">F-USR-16</t>
  </si>
  <si>
    <t xml:space="preserve">5.3 whitelist, 5.4 enums</t>
  </si>
  <si>
    <t xml:space="preserve">Non-whitelisted sort_by, bad order, bad enum filters.</t>
  </si>
  <si>
    <t xml:space="preserve">tests/full/test_full_users.py::test_list_users_invalid_params</t>
  </si>
  <si>
    <t xml:space="preserve">F-USR-17</t>
  </si>
  <si>
    <t xml:space="preserve">tests/full/test_full_users.py::test_get_user_not_found</t>
  </si>
  <si>
    <t xml:space="preserve">F-USR-18</t>
  </si>
  <si>
    <t xml:space="preserve">U4</t>
  </si>
  <si>
    <t xml:space="preserve">tests/full/test_full_users.py::test_status_not_found</t>
  </si>
  <si>
    <t xml:space="preserve">F-USR-19</t>
  </si>
  <si>
    <t xml:space="preserve">Admin tries to deactivate own account.</t>
  </si>
  <si>
    <t xml:space="preserve">409 and admin still able to call admin APIs</t>
  </si>
  <si>
    <t xml:space="preserve">tests/full/test_full_users.py::test_admin_cannot_deactivate_self</t>
  </si>
  <si>
    <t xml:space="preserve">F-USR-20</t>
  </si>
  <si>
    <t xml:space="preserve">Deactivate then reactivate an employee.</t>
  </si>
  <si>
    <t xml:space="preserve">login 401 while inactive, 200 after reactivation</t>
  </si>
  <si>
    <t xml:space="preserve">tests/full/test_full_users.py::test_reactivate_user</t>
  </si>
  <si>
    <t xml:space="preserve">F-USR-21</t>
  </si>
  <si>
    <t xml:space="preserve">Missing or non-boolean is_active.</t>
  </si>
  <si>
    <t xml:space="preserve">tests/full/test_full_users.py::test_status_validation</t>
  </si>
  <si>
    <t xml:space="preserve">F-USR-22</t>
  </si>
  <si>
    <t xml:space="preserve">BR-08, BR-17</t>
  </si>
  <si>
    <t xml:space="preserve">Deactivate a driver then create a trip with them.</t>
  </si>
  <si>
    <t xml:space="preserve">tests/full/test_full_users.py::test_deactivated_driver_cannot_be_assigned_to_trip</t>
  </si>
  <si>
    <t xml:space="preserve">X-RPT-01</t>
  </si>
  <si>
    <t xml:space="preserve">Stretch</t>
  </si>
  <si>
    <t xml:space="preserve">GET /reports/daily-summary</t>
  </si>
  <si>
    <t xml:space="preserve">R1, Section 3</t>
  </si>
  <si>
    <t xml:space="preserve">No token; employee; driver; admin.</t>
  </si>
  <si>
    <t xml:space="preserve">401, 403, 403, 200</t>
  </si>
  <si>
    <t xml:space="preserve">tests/full/test_stretch_reports.py::test_report_rbac</t>
  </si>
  <si>
    <t xml:space="preserve">X-RPT-02</t>
  </si>
  <si>
    <t xml:space="preserve">R1</t>
  </si>
  <si>
    <t xml:space="preserve">Missing travel_date; malformed travel_date.</t>
  </si>
  <si>
    <t xml:space="preserve">tests/full/test_stretch_reports.py::test_report_requires_valid_date</t>
  </si>
  <si>
    <t xml:space="preserve">X-RPT-03</t>
  </si>
  <si>
    <t xml:space="preserve">Day with no activity.</t>
  </si>
  <si>
    <t xml:space="preserve">both slots present with all counts 0 and utilisation_pct 0</t>
  </si>
  <si>
    <t xml:space="preserve">tests/full/test_stretch_reports.py::test_report_empty_day</t>
  </si>
  <si>
    <t xml:space="preserve">X-RPT-04</t>
  </si>
  <si>
    <t xml:space="preserve">R1 definitions (Test Contract)</t>
  </si>
  <si>
    <t xml:space="preserve">MON PICKUP: 4-seat trip with 3 assigned (2 boarded→completed, 1 no-show), 1 unassigned, 1 cancelled; cancelled 6-seat trip.</t>
  </si>
  <si>
    <t xml:space="preserve">total 5, assigned 0, unassigned 1, cancelled 1, boarded 2, no_show 1, trips 1, capacity 4, utilisation 50.0</t>
  </si>
  <si>
    <t xml:space="preserve">tests/full/test_stretch_reports.py::test_report_counts</t>
  </si>
  <si>
    <t xml:space="preserve">X-RPT-05</t>
  </si>
  <si>
    <t xml:space="preserve">R1 rounding to 1 decimal</t>
  </si>
  <si>
    <t xml:space="preserve">6-seat trip, 1 boarded.</t>
  </si>
  <si>
    <t xml:space="preserve">utilisation_pct 16.7</t>
  </si>
  <si>
    <t xml:space="preserve">tests/full/test_stretch_reports.py::test_report_utilisation_rounding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</si>
</sst>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FF2CC"/>
        <bgColor rgb="FFF2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3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8" min="7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n">
        <f aca="false">COUNTIF('Simple Suite'!C:C,A5)</f>
        <v>1</v>
      </c>
      <c r="C5" s="4" t="n">
        <f aca="false">SUMIFS('Simple Suite'!H:H,'Simple Suite'!C:C,A5)</f>
        <v>1</v>
      </c>
      <c r="D5" s="4" t="n">
        <f aca="false">COUNTIF('Full Suite'!C:C,A5)</f>
        <v>0</v>
      </c>
      <c r="E5" s="4" t="n">
        <f aca="false">SUMIFS('Full Suite'!H:H,'Full Suite'!C:C,A5,'Full Suite'!B:B,"Full")</f>
        <v>0</v>
      </c>
      <c r="F5" s="4" t="n">
        <f aca="false">SUMIFS('Full Suite'!H:H,'Full Suite'!C:C,A5,'Full Suite'!B:B,"Stretch")</f>
        <v>0</v>
      </c>
      <c r="G5" s="4" t="n">
        <f aca="false">COUNTIFS('Full Suite'!C:C,A5,'Full Suite'!J:J,"Pass")</f>
        <v>0</v>
      </c>
      <c r="H5" s="4" t="n">
        <f aca="false">COUNTIFS('Full Suite'!C:C,A5,'Full Suite'!J:J,"Fail")</f>
        <v>0</v>
      </c>
    </row>
    <row r="6" customFormat="false" ht="15" hidden="false" customHeight="false" outlineLevel="0" collapsed="false">
      <c r="A6" s="4" t="s">
        <v>11</v>
      </c>
      <c r="B6" s="4" t="n">
        <f aca="false">COUNTIF('Simple Suite'!C:C,A6)</f>
        <v>7</v>
      </c>
      <c r="C6" s="4" t="n">
        <f aca="false">SUMIFS('Simple Suite'!H:H,'Simple Suite'!C:C,A6)</f>
        <v>7</v>
      </c>
      <c r="D6" s="4" t="n">
        <f aca="false">COUNTIF('Full Suite'!C:C,A6)</f>
        <v>30</v>
      </c>
      <c r="E6" s="4" t="n">
        <f aca="false">SUMIFS('Full Suite'!H:H,'Full Suite'!C:C,A6,'Full Suite'!B:B,"Full")</f>
        <v>54</v>
      </c>
      <c r="F6" s="4" t="n">
        <f aca="false">SUMIFS('Full Suite'!H:H,'Full Suite'!C:C,A6,'Full Suite'!B:B,"Stretch")</f>
        <v>0</v>
      </c>
      <c r="G6" s="4" t="n">
        <f aca="false">COUNTIFS('Full Suite'!C:C,A6,'Full Suite'!J:J,"Pass")</f>
        <v>0</v>
      </c>
      <c r="H6" s="4" t="n">
        <f aca="false">COUNTIFS('Full Suite'!C:C,A6,'Full Suite'!J:J,"Fail")</f>
        <v>0</v>
      </c>
    </row>
    <row r="7" customFormat="false" ht="15" hidden="false" customHeight="false" outlineLevel="0" collapsed="false">
      <c r="A7" s="4" t="s">
        <v>12</v>
      </c>
      <c r="B7" s="4" t="n">
        <f aca="false">COUNTIF('Simple Suite'!C:C,A7)</f>
        <v>0</v>
      </c>
      <c r="C7" s="4" t="n">
        <f aca="false">SUMIFS('Simple Suite'!H:H,'Simple Suite'!C:C,A7)</f>
        <v>0</v>
      </c>
      <c r="D7" s="4" t="n">
        <f aca="false">COUNTIF('Full Suite'!C:C,A7)</f>
        <v>3</v>
      </c>
      <c r="E7" s="4" t="n">
        <f aca="false">SUMIFS('Full Suite'!H:H,'Full Suite'!C:C,A7,'Full Suite'!B:B,"Full")</f>
        <v>73</v>
      </c>
      <c r="F7" s="4" t="n">
        <f aca="false">SUMIFS('Full Suite'!H:H,'Full Suite'!C:C,A7,'Full Suite'!B:B,"Stretch")</f>
        <v>0</v>
      </c>
      <c r="G7" s="4" t="n">
        <f aca="false">COUNTIFS('Full Suite'!C:C,A7,'Full Suite'!J:J,"Pass")</f>
        <v>0</v>
      </c>
      <c r="H7" s="4" t="n">
        <f aca="false">COUNTIFS('Full Suite'!C:C,A7,'Full Suite'!J:J,"Fail")</f>
        <v>0</v>
      </c>
    </row>
    <row r="8" customFormat="false" ht="15" hidden="false" customHeight="false" outlineLevel="0" collapsed="false">
      <c r="A8" s="4" t="s">
        <v>13</v>
      </c>
      <c r="B8" s="4" t="n">
        <f aca="false">COUNTIF('Simple Suite'!C:C,A8)</f>
        <v>5</v>
      </c>
      <c r="C8" s="4" t="n">
        <f aca="false">SUMIFS('Simple Suite'!H:H,'Simple Suite'!C:C,A8)</f>
        <v>5</v>
      </c>
      <c r="D8" s="4" t="n">
        <f aca="false">COUNTIF('Full Suite'!C:C,A8)</f>
        <v>22</v>
      </c>
      <c r="E8" s="4" t="n">
        <f aca="false">SUMIFS('Full Suite'!H:H,'Full Suite'!C:C,A8,'Full Suite'!B:B,"Full")</f>
        <v>37</v>
      </c>
      <c r="F8" s="4" t="n">
        <f aca="false">SUMIFS('Full Suite'!H:H,'Full Suite'!C:C,A8,'Full Suite'!B:B,"Stretch")</f>
        <v>0</v>
      </c>
      <c r="G8" s="4" t="n">
        <f aca="false">COUNTIFS('Full Suite'!C:C,A8,'Full Suite'!J:J,"Pass")</f>
        <v>0</v>
      </c>
      <c r="H8" s="4" t="n">
        <f aca="false">COUNTIFS('Full Suite'!C:C,A8,'Full Suite'!J:J,"Fail")</f>
        <v>0</v>
      </c>
    </row>
    <row r="9" customFormat="false" ht="15" hidden="false" customHeight="false" outlineLevel="0" collapsed="false">
      <c r="A9" s="4" t="s">
        <v>14</v>
      </c>
      <c r="B9" s="4" t="n">
        <f aca="false">COUNTIF('Simple Suite'!C:C,A9)</f>
        <v>5</v>
      </c>
      <c r="C9" s="4" t="n">
        <f aca="false">SUMIFS('Simple Suite'!H:H,'Simple Suite'!C:C,A9)</f>
        <v>5</v>
      </c>
      <c r="D9" s="4" t="n">
        <f aca="false">COUNTIF('Full Suite'!C:C,A9)</f>
        <v>17</v>
      </c>
      <c r="E9" s="4" t="n">
        <f aca="false">SUMIFS('Full Suite'!H:H,'Full Suite'!C:C,A9,'Full Suite'!B:B,"Full")</f>
        <v>38</v>
      </c>
      <c r="F9" s="4" t="n">
        <f aca="false">SUMIFS('Full Suite'!H:H,'Full Suite'!C:C,A9,'Full Suite'!B:B,"Stretch")</f>
        <v>0</v>
      </c>
      <c r="G9" s="4" t="n">
        <f aca="false">COUNTIFS('Full Suite'!C:C,A9,'Full Suite'!J:J,"Pass")</f>
        <v>0</v>
      </c>
      <c r="H9" s="4" t="n">
        <f aca="false">COUNTIFS('Full Suite'!C:C,A9,'Full Suite'!J:J,"Fail")</f>
        <v>0</v>
      </c>
    </row>
    <row r="10" customFormat="false" ht="15" hidden="false" customHeight="false" outlineLevel="0" collapsed="false">
      <c r="A10" s="4" t="s">
        <v>15</v>
      </c>
      <c r="B10" s="4" t="n">
        <f aca="false">COUNTIF('Simple Suite'!C:C,A10)</f>
        <v>6</v>
      </c>
      <c r="C10" s="4" t="n">
        <f aca="false">SUMIFS('Simple Suite'!H:H,'Simple Suite'!C:C,A10)</f>
        <v>6</v>
      </c>
      <c r="D10" s="4" t="n">
        <f aca="false">COUNTIF('Full Suite'!C:C,A10)</f>
        <v>37</v>
      </c>
      <c r="E10" s="4" t="n">
        <f aca="false">SUMIFS('Full Suite'!H:H,'Full Suite'!C:C,A10,'Full Suite'!B:B,"Full")</f>
        <v>63</v>
      </c>
      <c r="F10" s="4" t="n">
        <f aca="false">SUMIFS('Full Suite'!H:H,'Full Suite'!C:C,A10,'Full Suite'!B:B,"Stretch")</f>
        <v>0</v>
      </c>
      <c r="G10" s="4" t="n">
        <f aca="false">COUNTIFS('Full Suite'!C:C,A10,'Full Suite'!J:J,"Pass")</f>
        <v>0</v>
      </c>
      <c r="H10" s="4" t="n">
        <f aca="false">COUNTIFS('Full Suite'!C:C,A10,'Full Suite'!J:J,"Fail")</f>
        <v>0</v>
      </c>
    </row>
    <row r="11" customFormat="false" ht="15" hidden="false" customHeight="false" outlineLevel="0" collapsed="false">
      <c r="A11" s="4" t="s">
        <v>16</v>
      </c>
      <c r="B11" s="4" t="n">
        <f aca="false">COUNTIF('Simple Suite'!C:C,A11)</f>
        <v>7</v>
      </c>
      <c r="C11" s="4" t="n">
        <f aca="false">SUMIFS('Simple Suite'!H:H,'Simple Suite'!C:C,A11)</f>
        <v>7</v>
      </c>
      <c r="D11" s="4" t="n">
        <f aca="false">COUNTIF('Full Suite'!C:C,A11)</f>
        <v>33</v>
      </c>
      <c r="E11" s="4" t="n">
        <f aca="false">SUMIFS('Full Suite'!H:H,'Full Suite'!C:C,A11,'Full Suite'!B:B,"Full")</f>
        <v>52</v>
      </c>
      <c r="F11" s="4" t="n">
        <f aca="false">SUMIFS('Full Suite'!H:H,'Full Suite'!C:C,A11,'Full Suite'!B:B,"Stretch")</f>
        <v>0</v>
      </c>
      <c r="G11" s="4" t="n">
        <f aca="false">COUNTIFS('Full Suite'!C:C,A11,'Full Suite'!J:J,"Pass")</f>
        <v>0</v>
      </c>
      <c r="H11" s="4" t="n">
        <f aca="false">COUNTIFS('Full Suite'!C:C,A11,'Full Suite'!J:J,"Fail")</f>
        <v>0</v>
      </c>
    </row>
    <row r="12" customFormat="false" ht="15" hidden="false" customHeight="false" outlineLevel="0" collapsed="false">
      <c r="A12" s="4" t="s">
        <v>17</v>
      </c>
      <c r="B12" s="4" t="n">
        <f aca="false">COUNTIF('Simple Suite'!C:C,A12)</f>
        <v>6</v>
      </c>
      <c r="C12" s="4" t="n">
        <f aca="false">SUMIFS('Simple Suite'!H:H,'Simple Suite'!C:C,A12)</f>
        <v>6</v>
      </c>
      <c r="D12" s="4" t="n">
        <f aca="false">COUNTIF('Full Suite'!C:C,A12)</f>
        <v>19</v>
      </c>
      <c r="E12" s="4" t="n">
        <f aca="false">SUMIFS('Full Suite'!H:H,'Full Suite'!C:C,A12,'Full Suite'!B:B,"Full")</f>
        <v>29</v>
      </c>
      <c r="F12" s="4" t="n">
        <f aca="false">SUMIFS('Full Suite'!H:H,'Full Suite'!C:C,A12,'Full Suite'!B:B,"Stretch")</f>
        <v>0</v>
      </c>
      <c r="G12" s="4" t="n">
        <f aca="false">COUNTIFS('Full Suite'!C:C,A12,'Full Suite'!J:J,"Pass")</f>
        <v>0</v>
      </c>
      <c r="H12" s="4" t="n">
        <f aca="false">COUNTIFS('Full Suite'!C:C,A12,'Full Suite'!J:J,"Fail")</f>
        <v>0</v>
      </c>
    </row>
    <row r="13" customFormat="false" ht="15" hidden="false" customHeight="false" outlineLevel="0" collapsed="false">
      <c r="A13" s="4" t="s">
        <v>18</v>
      </c>
      <c r="B13" s="4" t="n">
        <f aca="false">COUNTIF('Simple Suite'!C:C,A13)</f>
        <v>0</v>
      </c>
      <c r="C13" s="4" t="n">
        <f aca="false">SUMIFS('Simple Suite'!H:H,'Simple Suite'!C:C,A13)</f>
        <v>0</v>
      </c>
      <c r="D13" s="4" t="n">
        <f aca="false">COUNTIF('Full Suite'!C:C,A13)</f>
        <v>7</v>
      </c>
      <c r="E13" s="4" t="n">
        <f aca="false">SUMIFS('Full Suite'!H:H,'Full Suite'!C:C,A13,'Full Suite'!B:B,"Full")</f>
        <v>41</v>
      </c>
      <c r="F13" s="4" t="n">
        <f aca="false">SUMIFS('Full Suite'!H:H,'Full Suite'!C:C,A13,'Full Suite'!B:B,"Stretch")</f>
        <v>0</v>
      </c>
      <c r="G13" s="4" t="n">
        <f aca="false">COUNTIFS('Full Suite'!C:C,A13,'Full Suite'!J:J,"Pass")</f>
        <v>0</v>
      </c>
      <c r="H13" s="4" t="n">
        <f aca="false">COUNTIFS('Full Suite'!C:C,A13,'Full Suite'!J:J,"Fail")</f>
        <v>0</v>
      </c>
    </row>
    <row r="14" customFormat="false" ht="15" hidden="false" customHeight="false" outlineLevel="0" collapsed="false">
      <c r="A14" s="4" t="s">
        <v>19</v>
      </c>
      <c r="B14" s="4" t="n">
        <f aca="false">COUNTIF('Simple Suite'!C:C,A14)</f>
        <v>1</v>
      </c>
      <c r="C14" s="4" t="n">
        <f aca="false">SUMIFS('Simple Suite'!H:H,'Simple Suite'!C:C,A14)</f>
        <v>1</v>
      </c>
      <c r="D14" s="4" t="n">
        <f aca="false">COUNTIF('Full Suite'!C:C,A14)</f>
        <v>5</v>
      </c>
      <c r="E14" s="4" t="n">
        <f aca="false">SUMIFS('Full Suite'!H:H,'Full Suite'!C:C,A14,'Full Suite'!B:B,"Full")</f>
        <v>5</v>
      </c>
      <c r="F14" s="4" t="n">
        <f aca="false">SUMIFS('Full Suite'!H:H,'Full Suite'!C:C,A14,'Full Suite'!B:B,"Stretch")</f>
        <v>0</v>
      </c>
      <c r="G14" s="4" t="n">
        <f aca="false">COUNTIFS('Full Suite'!C:C,A14,'Full Suite'!J:J,"Pass")</f>
        <v>0</v>
      </c>
      <c r="H14" s="4" t="n">
        <f aca="false">COUNTIFS('Full Suite'!C:C,A14,'Full Suite'!J:J,"Fail")</f>
        <v>0</v>
      </c>
    </row>
    <row r="15" customFormat="false" ht="15" hidden="false" customHeight="false" outlineLevel="0" collapsed="false">
      <c r="A15" s="4" t="s">
        <v>20</v>
      </c>
      <c r="B15" s="4" t="n">
        <f aca="false">COUNTIF('Simple Suite'!C:C,A15)</f>
        <v>0</v>
      </c>
      <c r="C15" s="4" t="n">
        <f aca="false">SUMIFS('Simple Suite'!H:H,'Simple Suite'!C:C,A15)</f>
        <v>0</v>
      </c>
      <c r="D15" s="4" t="n">
        <f aca="false">COUNTIF('Full Suite'!C:C,A15)</f>
        <v>5</v>
      </c>
      <c r="E15" s="4" t="n">
        <f aca="false">SUMIFS('Full Suite'!H:H,'Full Suite'!C:C,A15,'Full Suite'!B:B,"Full")</f>
        <v>0</v>
      </c>
      <c r="F15" s="4" t="n">
        <f aca="false">SUMIFS('Full Suite'!H:H,'Full Suite'!C:C,A15,'Full Suite'!B:B,"Stretch")</f>
        <v>5</v>
      </c>
      <c r="G15" s="4" t="n">
        <f aca="false">COUNTIFS('Full Suite'!C:C,A15,'Full Suite'!J:J,"Pass")</f>
        <v>0</v>
      </c>
      <c r="H15" s="4" t="n">
        <f aca="false">COUNTIFS('Full Suite'!C:C,A15,'Full Suite'!J:J,"Fail")</f>
        <v>0</v>
      </c>
    </row>
    <row r="16" customFormat="false" ht="15" hidden="false" customHeight="false" outlineLevel="0" collapsed="false">
      <c r="A16" s="5" t="s">
        <v>21</v>
      </c>
      <c r="B16" s="5" t="n">
        <f aca="false">SUM(B5:B15)</f>
        <v>38</v>
      </c>
      <c r="C16" s="5" t="n">
        <f aca="false">SUM(C5:C15)</f>
        <v>38</v>
      </c>
      <c r="D16" s="5" t="n">
        <f aca="false">SUM(D5:D15)</f>
        <v>178</v>
      </c>
      <c r="E16" s="5" t="n">
        <f aca="false">SUM(E5:E15)</f>
        <v>392</v>
      </c>
      <c r="F16" s="5" t="n">
        <f aca="false">SUM(F5:F15)</f>
        <v>5</v>
      </c>
      <c r="G16" s="5" t="n">
        <f aca="false">SUM(G5:G15)</f>
        <v>0</v>
      </c>
      <c r="H16" s="5" t="n">
        <f aca="false">SUM(H5:H15)</f>
        <v>0</v>
      </c>
    </row>
    <row r="18" customFormat="false" ht="15" hidden="false" customHeight="false" outlineLevel="0" collapsed="false">
      <c r="A18" s="6" t="s">
        <v>22</v>
      </c>
    </row>
    <row r="19" customFormat="false" ht="15" hidden="false" customHeight="false" outlineLevel="0" collapsed="false">
      <c r="A19" s="7" t="s">
        <v>23</v>
      </c>
    </row>
    <row r="20" customFormat="false" ht="15" hidden="false" customHeight="false" outlineLevel="0" collapsed="false">
      <c r="A20" s="7" t="s">
        <v>24</v>
      </c>
    </row>
    <row r="21" customFormat="false" ht="15" hidden="false" customHeight="false" outlineLevel="0" collapsed="false">
      <c r="A21" s="7" t="s">
        <v>25</v>
      </c>
    </row>
    <row r="22" customFormat="false" ht="15" hidden="false" customHeight="false" outlineLevel="0" collapsed="false">
      <c r="A22" s="7" t="s">
        <v>26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60"/>
    <col collapsed="false" customWidth="true" hidden="false" outlineLevel="0" max="7" min="7" style="0" width="44"/>
    <col collapsed="false" customWidth="true" hidden="false" outlineLevel="0" max="8" min="8" style="0" width="7"/>
    <col collapsed="false" customWidth="true" hidden="false" outlineLevel="0" max="9" min="9" style="0" width="52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6.85" hidden="false" customHeight="false" outlineLevel="0" collapsed="false">
      <c r="A1" s="8" t="s">
        <v>27</v>
      </c>
      <c r="B1" s="8" t="s">
        <v>28</v>
      </c>
      <c r="C1" s="8" t="s">
        <v>2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</row>
    <row r="2" customFormat="false" ht="15" hidden="false" customHeight="false" outlineLevel="0" collapsed="false">
      <c r="A2" s="9" t="s">
        <v>37</v>
      </c>
      <c r="B2" s="9" t="s">
        <v>38</v>
      </c>
      <c r="C2" s="9" t="s">
        <v>10</v>
      </c>
      <c r="D2" s="9" t="s">
        <v>39</v>
      </c>
      <c r="E2" s="9" t="s">
        <v>40</v>
      </c>
      <c r="F2" s="9" t="s">
        <v>41</v>
      </c>
      <c r="G2" s="9" t="s">
        <v>42</v>
      </c>
      <c r="H2" s="9" t="n">
        <v>1</v>
      </c>
      <c r="I2" s="9" t="s">
        <v>43</v>
      </c>
      <c r="J2" s="10"/>
      <c r="K2" s="9"/>
    </row>
    <row r="3" customFormat="false" ht="22.35" hidden="false" customHeight="false" outlineLevel="0" collapsed="false">
      <c r="A3" s="11" t="s">
        <v>44</v>
      </c>
      <c r="B3" s="11" t="s">
        <v>38</v>
      </c>
      <c r="C3" s="11" t="s">
        <v>11</v>
      </c>
      <c r="D3" s="11" t="s">
        <v>45</v>
      </c>
      <c r="E3" s="11" t="s">
        <v>46</v>
      </c>
      <c r="F3" s="11" t="s">
        <v>47</v>
      </c>
      <c r="G3" s="11" t="s">
        <v>48</v>
      </c>
      <c r="H3" s="11" t="n">
        <v>1</v>
      </c>
      <c r="I3" s="11" t="s">
        <v>49</v>
      </c>
      <c r="J3" s="10"/>
      <c r="K3" s="11"/>
    </row>
    <row r="4" customFormat="false" ht="15" hidden="false" customHeight="false" outlineLevel="0" collapsed="false">
      <c r="A4" s="9" t="s">
        <v>50</v>
      </c>
      <c r="B4" s="9" t="s">
        <v>38</v>
      </c>
      <c r="C4" s="9" t="s">
        <v>11</v>
      </c>
      <c r="D4" s="9" t="s">
        <v>45</v>
      </c>
      <c r="E4" s="9" t="s">
        <v>46</v>
      </c>
      <c r="F4" s="9" t="s">
        <v>51</v>
      </c>
      <c r="G4" s="9" t="s">
        <v>52</v>
      </c>
      <c r="H4" s="9" t="n">
        <v>1</v>
      </c>
      <c r="I4" s="9" t="s">
        <v>53</v>
      </c>
      <c r="J4" s="10"/>
      <c r="K4" s="9"/>
    </row>
    <row r="5" customFormat="false" ht="15" hidden="false" customHeight="false" outlineLevel="0" collapsed="false">
      <c r="A5" s="11" t="s">
        <v>54</v>
      </c>
      <c r="B5" s="11" t="s">
        <v>38</v>
      </c>
      <c r="C5" s="11" t="s">
        <v>11</v>
      </c>
      <c r="D5" s="11" t="s">
        <v>55</v>
      </c>
      <c r="E5" s="11" t="s">
        <v>56</v>
      </c>
      <c r="F5" s="11" t="s">
        <v>57</v>
      </c>
      <c r="G5" s="11" t="s">
        <v>58</v>
      </c>
      <c r="H5" s="11" t="n">
        <v>1</v>
      </c>
      <c r="I5" s="11" t="s">
        <v>59</v>
      </c>
      <c r="J5" s="10"/>
      <c r="K5" s="11"/>
    </row>
    <row r="6" customFormat="false" ht="15" hidden="false" customHeight="false" outlineLevel="0" collapsed="false">
      <c r="A6" s="9" t="s">
        <v>60</v>
      </c>
      <c r="B6" s="9" t="s">
        <v>38</v>
      </c>
      <c r="C6" s="9" t="s">
        <v>11</v>
      </c>
      <c r="D6" s="9" t="s">
        <v>55</v>
      </c>
      <c r="E6" s="9" t="s">
        <v>56</v>
      </c>
      <c r="F6" s="9" t="s">
        <v>61</v>
      </c>
      <c r="G6" s="9" t="s">
        <v>62</v>
      </c>
      <c r="H6" s="9" t="n">
        <v>1</v>
      </c>
      <c r="I6" s="9" t="s">
        <v>63</v>
      </c>
      <c r="J6" s="10"/>
      <c r="K6" s="9"/>
    </row>
    <row r="7" customFormat="false" ht="15" hidden="false" customHeight="false" outlineLevel="0" collapsed="false">
      <c r="A7" s="11" t="s">
        <v>64</v>
      </c>
      <c r="B7" s="11" t="s">
        <v>38</v>
      </c>
      <c r="C7" s="11" t="s">
        <v>11</v>
      </c>
      <c r="D7" s="11" t="s">
        <v>65</v>
      </c>
      <c r="E7" s="11" t="s">
        <v>66</v>
      </c>
      <c r="F7" s="11" t="s">
        <v>67</v>
      </c>
      <c r="G7" s="11" t="s">
        <v>68</v>
      </c>
      <c r="H7" s="11" t="n">
        <v>1</v>
      </c>
      <c r="I7" s="11" t="s">
        <v>69</v>
      </c>
      <c r="J7" s="10"/>
      <c r="K7" s="11"/>
    </row>
    <row r="8" customFormat="false" ht="15" hidden="false" customHeight="false" outlineLevel="0" collapsed="false">
      <c r="A8" s="9" t="s">
        <v>70</v>
      </c>
      <c r="B8" s="9" t="s">
        <v>38</v>
      </c>
      <c r="C8" s="9" t="s">
        <v>11</v>
      </c>
      <c r="D8" s="9" t="s">
        <v>65</v>
      </c>
      <c r="E8" s="9" t="s">
        <v>71</v>
      </c>
      <c r="F8" s="9" t="s">
        <v>72</v>
      </c>
      <c r="G8" s="9" t="s">
        <v>62</v>
      </c>
      <c r="H8" s="9" t="n">
        <v>1</v>
      </c>
      <c r="I8" s="9" t="s">
        <v>73</v>
      </c>
      <c r="J8" s="10"/>
      <c r="K8" s="9"/>
    </row>
    <row r="9" customFormat="false" ht="15" hidden="false" customHeight="false" outlineLevel="0" collapsed="false">
      <c r="A9" s="11" t="s">
        <v>74</v>
      </c>
      <c r="B9" s="11" t="s">
        <v>38</v>
      </c>
      <c r="C9" s="11" t="s">
        <v>11</v>
      </c>
      <c r="D9" s="11" t="s">
        <v>75</v>
      </c>
      <c r="E9" s="11" t="s">
        <v>76</v>
      </c>
      <c r="F9" s="11" t="s">
        <v>77</v>
      </c>
      <c r="G9" s="11" t="s">
        <v>78</v>
      </c>
      <c r="H9" s="11" t="n">
        <v>1</v>
      </c>
      <c r="I9" s="11" t="s">
        <v>79</v>
      </c>
      <c r="J9" s="10"/>
      <c r="K9" s="11"/>
    </row>
    <row r="10" customFormat="false" ht="15" hidden="false" customHeight="false" outlineLevel="0" collapsed="false">
      <c r="A10" s="9" t="s">
        <v>80</v>
      </c>
      <c r="B10" s="9" t="s">
        <v>38</v>
      </c>
      <c r="C10" s="9" t="s">
        <v>13</v>
      </c>
      <c r="D10" s="9" t="s">
        <v>81</v>
      </c>
      <c r="E10" s="9" t="s">
        <v>82</v>
      </c>
      <c r="F10" s="9" t="s">
        <v>83</v>
      </c>
      <c r="G10" s="9" t="s">
        <v>84</v>
      </c>
      <c r="H10" s="9" t="n">
        <v>1</v>
      </c>
      <c r="I10" s="9" t="s">
        <v>85</v>
      </c>
      <c r="J10" s="10"/>
      <c r="K10" s="9"/>
    </row>
    <row r="11" customFormat="false" ht="22.35" hidden="false" customHeight="false" outlineLevel="0" collapsed="false">
      <c r="A11" s="11" t="s">
        <v>86</v>
      </c>
      <c r="B11" s="11" t="s">
        <v>38</v>
      </c>
      <c r="C11" s="11" t="s">
        <v>13</v>
      </c>
      <c r="D11" s="11" t="s">
        <v>81</v>
      </c>
      <c r="E11" s="11" t="s">
        <v>87</v>
      </c>
      <c r="F11" s="11" t="s">
        <v>88</v>
      </c>
      <c r="G11" s="11" t="s">
        <v>89</v>
      </c>
      <c r="H11" s="11" t="n">
        <v>1</v>
      </c>
      <c r="I11" s="11" t="s">
        <v>90</v>
      </c>
      <c r="J11" s="10"/>
      <c r="K11" s="11"/>
    </row>
    <row r="12" customFormat="false" ht="22.35" hidden="false" customHeight="false" outlineLevel="0" collapsed="false">
      <c r="A12" s="9" t="s">
        <v>91</v>
      </c>
      <c r="B12" s="9" t="s">
        <v>38</v>
      </c>
      <c r="C12" s="9" t="s">
        <v>13</v>
      </c>
      <c r="D12" s="9" t="s">
        <v>92</v>
      </c>
      <c r="E12" s="9" t="s">
        <v>93</v>
      </c>
      <c r="F12" s="9" t="s">
        <v>94</v>
      </c>
      <c r="G12" s="9" t="s">
        <v>95</v>
      </c>
      <c r="H12" s="9" t="n">
        <v>1</v>
      </c>
      <c r="I12" s="9" t="s">
        <v>96</v>
      </c>
      <c r="J12" s="10"/>
      <c r="K12" s="9"/>
    </row>
    <row r="13" customFormat="false" ht="15" hidden="false" customHeight="false" outlineLevel="0" collapsed="false">
      <c r="A13" s="11" t="s">
        <v>97</v>
      </c>
      <c r="B13" s="11" t="s">
        <v>38</v>
      </c>
      <c r="C13" s="11" t="s">
        <v>13</v>
      </c>
      <c r="D13" s="11" t="s">
        <v>98</v>
      </c>
      <c r="E13" s="11" t="s">
        <v>99</v>
      </c>
      <c r="F13" s="11" t="s">
        <v>100</v>
      </c>
      <c r="G13" s="11" t="s">
        <v>101</v>
      </c>
      <c r="H13" s="11" t="n">
        <v>1</v>
      </c>
      <c r="I13" s="11" t="s">
        <v>102</v>
      </c>
      <c r="J13" s="10"/>
      <c r="K13" s="11"/>
    </row>
    <row r="14" customFormat="false" ht="15" hidden="false" customHeight="false" outlineLevel="0" collapsed="false">
      <c r="A14" s="9" t="s">
        <v>103</v>
      </c>
      <c r="B14" s="9" t="s">
        <v>38</v>
      </c>
      <c r="C14" s="9" t="s">
        <v>13</v>
      </c>
      <c r="D14" s="9" t="s">
        <v>104</v>
      </c>
      <c r="E14" s="9" t="s">
        <v>105</v>
      </c>
      <c r="F14" s="9" t="s">
        <v>106</v>
      </c>
      <c r="G14" s="9" t="s">
        <v>107</v>
      </c>
      <c r="H14" s="9" t="n">
        <v>1</v>
      </c>
      <c r="I14" s="9" t="s">
        <v>108</v>
      </c>
      <c r="J14" s="10"/>
      <c r="K14" s="9"/>
    </row>
    <row r="15" customFormat="false" ht="15" hidden="false" customHeight="false" outlineLevel="0" collapsed="false">
      <c r="A15" s="11" t="s">
        <v>109</v>
      </c>
      <c r="B15" s="11" t="s">
        <v>38</v>
      </c>
      <c r="C15" s="11" t="s">
        <v>14</v>
      </c>
      <c r="D15" s="11" t="s">
        <v>110</v>
      </c>
      <c r="E15" s="11" t="s">
        <v>111</v>
      </c>
      <c r="F15" s="11" t="s">
        <v>112</v>
      </c>
      <c r="G15" s="11" t="s">
        <v>113</v>
      </c>
      <c r="H15" s="11" t="n">
        <v>1</v>
      </c>
      <c r="I15" s="11" t="s">
        <v>114</v>
      </c>
      <c r="J15" s="10"/>
      <c r="K15" s="11"/>
    </row>
    <row r="16" customFormat="false" ht="15" hidden="false" customHeight="false" outlineLevel="0" collapsed="false">
      <c r="A16" s="9" t="s">
        <v>115</v>
      </c>
      <c r="B16" s="9" t="s">
        <v>38</v>
      </c>
      <c r="C16" s="9" t="s">
        <v>14</v>
      </c>
      <c r="D16" s="9" t="s">
        <v>110</v>
      </c>
      <c r="E16" s="9" t="s">
        <v>111</v>
      </c>
      <c r="F16" s="9" t="s">
        <v>116</v>
      </c>
      <c r="G16" s="9" t="s">
        <v>52</v>
      </c>
      <c r="H16" s="9" t="n">
        <v>1</v>
      </c>
      <c r="I16" s="9" t="s">
        <v>117</v>
      </c>
      <c r="J16" s="10"/>
      <c r="K16" s="9"/>
    </row>
    <row r="17" customFormat="false" ht="15" hidden="false" customHeight="false" outlineLevel="0" collapsed="false">
      <c r="A17" s="11" t="s">
        <v>118</v>
      </c>
      <c r="B17" s="11" t="s">
        <v>38</v>
      </c>
      <c r="C17" s="11" t="s">
        <v>14</v>
      </c>
      <c r="D17" s="11" t="s">
        <v>119</v>
      </c>
      <c r="E17" s="11" t="s">
        <v>120</v>
      </c>
      <c r="F17" s="11" t="s">
        <v>121</v>
      </c>
      <c r="G17" s="11" t="s">
        <v>122</v>
      </c>
      <c r="H17" s="11" t="n">
        <v>1</v>
      </c>
      <c r="I17" s="11" t="s">
        <v>123</v>
      </c>
      <c r="J17" s="10"/>
      <c r="K17" s="11"/>
    </row>
    <row r="18" customFormat="false" ht="15" hidden="false" customHeight="false" outlineLevel="0" collapsed="false">
      <c r="A18" s="9" t="s">
        <v>124</v>
      </c>
      <c r="B18" s="9" t="s">
        <v>38</v>
      </c>
      <c r="C18" s="9" t="s">
        <v>14</v>
      </c>
      <c r="D18" s="9" t="s">
        <v>125</v>
      </c>
      <c r="E18" s="9" t="s">
        <v>126</v>
      </c>
      <c r="F18" s="9" t="s">
        <v>127</v>
      </c>
      <c r="G18" s="9" t="s">
        <v>128</v>
      </c>
      <c r="H18" s="9" t="n">
        <v>1</v>
      </c>
      <c r="I18" s="9" t="s">
        <v>129</v>
      </c>
      <c r="J18" s="10"/>
      <c r="K18" s="9"/>
    </row>
    <row r="19" customFormat="false" ht="15" hidden="false" customHeight="false" outlineLevel="0" collapsed="false">
      <c r="A19" s="11" t="s">
        <v>130</v>
      </c>
      <c r="B19" s="11" t="s">
        <v>38</v>
      </c>
      <c r="C19" s="11" t="s">
        <v>14</v>
      </c>
      <c r="D19" s="11" t="s">
        <v>131</v>
      </c>
      <c r="E19" s="11" t="s">
        <v>132</v>
      </c>
      <c r="F19" s="11" t="s">
        <v>133</v>
      </c>
      <c r="G19" s="11" t="s">
        <v>134</v>
      </c>
      <c r="H19" s="11" t="n">
        <v>1</v>
      </c>
      <c r="I19" s="11" t="s">
        <v>135</v>
      </c>
      <c r="J19" s="10"/>
      <c r="K19" s="11"/>
    </row>
    <row r="20" customFormat="false" ht="22.35" hidden="false" customHeight="false" outlineLevel="0" collapsed="false">
      <c r="A20" s="9" t="s">
        <v>136</v>
      </c>
      <c r="B20" s="9" t="s">
        <v>38</v>
      </c>
      <c r="C20" s="9" t="s">
        <v>15</v>
      </c>
      <c r="D20" s="9" t="s">
        <v>137</v>
      </c>
      <c r="E20" s="9" t="s">
        <v>138</v>
      </c>
      <c r="F20" s="9" t="s">
        <v>139</v>
      </c>
      <c r="G20" s="9" t="s">
        <v>140</v>
      </c>
      <c r="H20" s="9" t="n">
        <v>1</v>
      </c>
      <c r="I20" s="9" t="s">
        <v>141</v>
      </c>
      <c r="J20" s="10"/>
      <c r="K20" s="9"/>
    </row>
    <row r="21" customFormat="false" ht="15" hidden="false" customHeight="false" outlineLevel="0" collapsed="false">
      <c r="A21" s="11" t="s">
        <v>142</v>
      </c>
      <c r="B21" s="11" t="s">
        <v>38</v>
      </c>
      <c r="C21" s="11" t="s">
        <v>15</v>
      </c>
      <c r="D21" s="11" t="s">
        <v>137</v>
      </c>
      <c r="E21" s="11" t="s">
        <v>143</v>
      </c>
      <c r="F21" s="11" t="s">
        <v>144</v>
      </c>
      <c r="G21" s="11" t="s">
        <v>52</v>
      </c>
      <c r="H21" s="11" t="n">
        <v>1</v>
      </c>
      <c r="I21" s="11" t="s">
        <v>145</v>
      </c>
      <c r="J21" s="10"/>
      <c r="K21" s="11"/>
    </row>
    <row r="22" customFormat="false" ht="15" hidden="false" customHeight="false" outlineLevel="0" collapsed="false">
      <c r="A22" s="9" t="s">
        <v>146</v>
      </c>
      <c r="B22" s="9" t="s">
        <v>38</v>
      </c>
      <c r="C22" s="9" t="s">
        <v>15</v>
      </c>
      <c r="D22" s="9" t="s">
        <v>147</v>
      </c>
      <c r="E22" s="9" t="s">
        <v>148</v>
      </c>
      <c r="F22" s="9" t="s">
        <v>149</v>
      </c>
      <c r="G22" s="9" t="s">
        <v>150</v>
      </c>
      <c r="H22" s="9" t="n">
        <v>1</v>
      </c>
      <c r="I22" s="9" t="s">
        <v>151</v>
      </c>
      <c r="J22" s="10"/>
      <c r="K22" s="9"/>
    </row>
    <row r="23" customFormat="false" ht="15" hidden="false" customHeight="false" outlineLevel="0" collapsed="false">
      <c r="A23" s="11" t="s">
        <v>152</v>
      </c>
      <c r="B23" s="11" t="s">
        <v>38</v>
      </c>
      <c r="C23" s="11" t="s">
        <v>15</v>
      </c>
      <c r="D23" s="11" t="s">
        <v>153</v>
      </c>
      <c r="E23" s="11" t="s">
        <v>154</v>
      </c>
      <c r="F23" s="11" t="s">
        <v>155</v>
      </c>
      <c r="G23" s="11" t="s">
        <v>156</v>
      </c>
      <c r="H23" s="11" t="n">
        <v>1</v>
      </c>
      <c r="I23" s="11" t="s">
        <v>157</v>
      </c>
      <c r="J23" s="10"/>
      <c r="K23" s="11"/>
    </row>
    <row r="24" customFormat="false" ht="15" hidden="false" customHeight="false" outlineLevel="0" collapsed="false">
      <c r="A24" s="9" t="s">
        <v>158</v>
      </c>
      <c r="B24" s="9" t="s">
        <v>38</v>
      </c>
      <c r="C24" s="9" t="s">
        <v>15</v>
      </c>
      <c r="D24" s="9" t="s">
        <v>159</v>
      </c>
      <c r="E24" s="9" t="s">
        <v>160</v>
      </c>
      <c r="F24" s="9" t="s">
        <v>161</v>
      </c>
      <c r="G24" s="9" t="s">
        <v>162</v>
      </c>
      <c r="H24" s="9" t="n">
        <v>1</v>
      </c>
      <c r="I24" s="9" t="s">
        <v>163</v>
      </c>
      <c r="J24" s="10"/>
      <c r="K24" s="9"/>
    </row>
    <row r="25" customFormat="false" ht="15" hidden="false" customHeight="false" outlineLevel="0" collapsed="false">
      <c r="A25" s="11" t="s">
        <v>164</v>
      </c>
      <c r="B25" s="11" t="s">
        <v>38</v>
      </c>
      <c r="C25" s="11" t="s">
        <v>15</v>
      </c>
      <c r="D25" s="11" t="s">
        <v>165</v>
      </c>
      <c r="E25" s="11" t="s">
        <v>166</v>
      </c>
      <c r="F25" s="11" t="s">
        <v>167</v>
      </c>
      <c r="G25" s="11" t="s">
        <v>168</v>
      </c>
      <c r="H25" s="11" t="n">
        <v>1</v>
      </c>
      <c r="I25" s="11" t="s">
        <v>169</v>
      </c>
      <c r="J25" s="10"/>
      <c r="K25" s="11"/>
    </row>
    <row r="26" customFormat="false" ht="15" hidden="false" customHeight="false" outlineLevel="0" collapsed="false">
      <c r="A26" s="9" t="s">
        <v>170</v>
      </c>
      <c r="B26" s="9" t="s">
        <v>38</v>
      </c>
      <c r="C26" s="9" t="s">
        <v>16</v>
      </c>
      <c r="D26" s="9" t="s">
        <v>171</v>
      </c>
      <c r="E26" s="9" t="s">
        <v>172</v>
      </c>
      <c r="F26" s="9" t="s">
        <v>173</v>
      </c>
      <c r="G26" s="9" t="s">
        <v>174</v>
      </c>
      <c r="H26" s="9" t="n">
        <v>1</v>
      </c>
      <c r="I26" s="9" t="s">
        <v>175</v>
      </c>
      <c r="J26" s="10"/>
      <c r="K26" s="9"/>
    </row>
    <row r="27" customFormat="false" ht="15" hidden="false" customHeight="false" outlineLevel="0" collapsed="false">
      <c r="A27" s="11" t="s">
        <v>176</v>
      </c>
      <c r="B27" s="11" t="s">
        <v>38</v>
      </c>
      <c r="C27" s="11" t="s">
        <v>16</v>
      </c>
      <c r="D27" s="11" t="s">
        <v>177</v>
      </c>
      <c r="E27" s="11" t="s">
        <v>178</v>
      </c>
      <c r="F27" s="11" t="s">
        <v>179</v>
      </c>
      <c r="G27" s="11" t="s">
        <v>180</v>
      </c>
      <c r="H27" s="11" t="n">
        <v>1</v>
      </c>
      <c r="I27" s="11" t="s">
        <v>181</v>
      </c>
      <c r="J27" s="10"/>
      <c r="K27" s="11"/>
    </row>
    <row r="28" customFormat="false" ht="15" hidden="false" customHeight="false" outlineLevel="0" collapsed="false">
      <c r="A28" s="9" t="s">
        <v>182</v>
      </c>
      <c r="B28" s="9" t="s">
        <v>38</v>
      </c>
      <c r="C28" s="9" t="s">
        <v>16</v>
      </c>
      <c r="D28" s="9" t="s">
        <v>183</v>
      </c>
      <c r="E28" s="9" t="s">
        <v>184</v>
      </c>
      <c r="F28" s="9" t="s">
        <v>185</v>
      </c>
      <c r="G28" s="9" t="s">
        <v>186</v>
      </c>
      <c r="H28" s="9" t="n">
        <v>1</v>
      </c>
      <c r="I28" s="9" t="s">
        <v>187</v>
      </c>
      <c r="J28" s="10"/>
      <c r="K28" s="9"/>
    </row>
    <row r="29" customFormat="false" ht="15" hidden="false" customHeight="false" outlineLevel="0" collapsed="false">
      <c r="A29" s="11" t="s">
        <v>188</v>
      </c>
      <c r="B29" s="11" t="s">
        <v>38</v>
      </c>
      <c r="C29" s="11" t="s">
        <v>16</v>
      </c>
      <c r="D29" s="11" t="s">
        <v>189</v>
      </c>
      <c r="E29" s="11" t="s">
        <v>190</v>
      </c>
      <c r="F29" s="11" t="s">
        <v>191</v>
      </c>
      <c r="G29" s="11" t="s">
        <v>192</v>
      </c>
      <c r="H29" s="11" t="n">
        <v>1</v>
      </c>
      <c r="I29" s="11" t="s">
        <v>193</v>
      </c>
      <c r="J29" s="10"/>
      <c r="K29" s="11"/>
    </row>
    <row r="30" customFormat="false" ht="15" hidden="false" customHeight="false" outlineLevel="0" collapsed="false">
      <c r="A30" s="9" t="s">
        <v>194</v>
      </c>
      <c r="B30" s="9" t="s">
        <v>38</v>
      </c>
      <c r="C30" s="9" t="s">
        <v>16</v>
      </c>
      <c r="D30" s="9" t="s">
        <v>189</v>
      </c>
      <c r="E30" s="9" t="s">
        <v>195</v>
      </c>
      <c r="F30" s="9" t="s">
        <v>196</v>
      </c>
      <c r="G30" s="9" t="s">
        <v>197</v>
      </c>
      <c r="H30" s="9" t="n">
        <v>1</v>
      </c>
      <c r="I30" s="9" t="s">
        <v>198</v>
      </c>
      <c r="J30" s="10"/>
      <c r="K30" s="9"/>
    </row>
    <row r="31" customFormat="false" ht="22.35" hidden="false" customHeight="false" outlineLevel="0" collapsed="false">
      <c r="A31" s="11" t="s">
        <v>199</v>
      </c>
      <c r="B31" s="11" t="s">
        <v>38</v>
      </c>
      <c r="C31" s="11" t="s">
        <v>16</v>
      </c>
      <c r="D31" s="11" t="s">
        <v>200</v>
      </c>
      <c r="E31" s="11" t="s">
        <v>201</v>
      </c>
      <c r="F31" s="11" t="s">
        <v>202</v>
      </c>
      <c r="G31" s="11" t="s">
        <v>203</v>
      </c>
      <c r="H31" s="11" t="n">
        <v>1</v>
      </c>
      <c r="I31" s="11" t="s">
        <v>204</v>
      </c>
      <c r="J31" s="10"/>
      <c r="K31" s="11"/>
    </row>
    <row r="32" customFormat="false" ht="15" hidden="false" customHeight="false" outlineLevel="0" collapsed="false">
      <c r="A32" s="9" t="s">
        <v>205</v>
      </c>
      <c r="B32" s="9" t="s">
        <v>38</v>
      </c>
      <c r="C32" s="9" t="s">
        <v>16</v>
      </c>
      <c r="D32" s="9" t="s">
        <v>206</v>
      </c>
      <c r="E32" s="9" t="s">
        <v>207</v>
      </c>
      <c r="F32" s="9" t="s">
        <v>208</v>
      </c>
      <c r="G32" s="9" t="s">
        <v>209</v>
      </c>
      <c r="H32" s="9" t="n">
        <v>1</v>
      </c>
      <c r="I32" s="9" t="s">
        <v>210</v>
      </c>
      <c r="J32" s="10"/>
      <c r="K32" s="9"/>
    </row>
    <row r="33" customFormat="false" ht="15" hidden="false" customHeight="false" outlineLevel="0" collapsed="false">
      <c r="A33" s="11" t="s">
        <v>211</v>
      </c>
      <c r="B33" s="11" t="s">
        <v>38</v>
      </c>
      <c r="C33" s="11" t="s">
        <v>17</v>
      </c>
      <c r="D33" s="11" t="s">
        <v>212</v>
      </c>
      <c r="E33" s="11" t="s">
        <v>213</v>
      </c>
      <c r="F33" s="11" t="s">
        <v>214</v>
      </c>
      <c r="G33" s="11" t="s">
        <v>180</v>
      </c>
      <c r="H33" s="11" t="n">
        <v>1</v>
      </c>
      <c r="I33" s="11" t="s">
        <v>215</v>
      </c>
      <c r="J33" s="10"/>
      <c r="K33" s="11"/>
    </row>
    <row r="34" customFormat="false" ht="15" hidden="false" customHeight="false" outlineLevel="0" collapsed="false">
      <c r="A34" s="9" t="s">
        <v>216</v>
      </c>
      <c r="B34" s="9" t="s">
        <v>38</v>
      </c>
      <c r="C34" s="9" t="s">
        <v>17</v>
      </c>
      <c r="D34" s="9" t="s">
        <v>217</v>
      </c>
      <c r="E34" s="9" t="s">
        <v>218</v>
      </c>
      <c r="F34" s="9" t="s">
        <v>219</v>
      </c>
      <c r="G34" s="9" t="s">
        <v>220</v>
      </c>
      <c r="H34" s="9" t="n">
        <v>1</v>
      </c>
      <c r="I34" s="9" t="s">
        <v>221</v>
      </c>
      <c r="J34" s="10"/>
      <c r="K34" s="9"/>
    </row>
    <row r="35" customFormat="false" ht="15" hidden="false" customHeight="false" outlineLevel="0" collapsed="false">
      <c r="A35" s="11" t="s">
        <v>222</v>
      </c>
      <c r="B35" s="11" t="s">
        <v>38</v>
      </c>
      <c r="C35" s="11" t="s">
        <v>17</v>
      </c>
      <c r="D35" s="11" t="s">
        <v>223</v>
      </c>
      <c r="E35" s="11" t="s">
        <v>224</v>
      </c>
      <c r="F35" s="11" t="s">
        <v>225</v>
      </c>
      <c r="G35" s="11" t="s">
        <v>226</v>
      </c>
      <c r="H35" s="11" t="n">
        <v>1</v>
      </c>
      <c r="I35" s="11" t="s">
        <v>227</v>
      </c>
      <c r="J35" s="10"/>
      <c r="K35" s="11"/>
    </row>
    <row r="36" customFormat="false" ht="22.35" hidden="false" customHeight="false" outlineLevel="0" collapsed="false">
      <c r="A36" s="9" t="s">
        <v>228</v>
      </c>
      <c r="B36" s="9" t="s">
        <v>38</v>
      </c>
      <c r="C36" s="9" t="s">
        <v>17</v>
      </c>
      <c r="D36" s="9" t="s">
        <v>229</v>
      </c>
      <c r="E36" s="9" t="s">
        <v>230</v>
      </c>
      <c r="F36" s="9" t="s">
        <v>231</v>
      </c>
      <c r="G36" s="9" t="s">
        <v>232</v>
      </c>
      <c r="H36" s="9" t="n">
        <v>1</v>
      </c>
      <c r="I36" s="9" t="s">
        <v>233</v>
      </c>
      <c r="J36" s="10"/>
      <c r="K36" s="9"/>
    </row>
    <row r="37" customFormat="false" ht="15" hidden="false" customHeight="false" outlineLevel="0" collapsed="false">
      <c r="A37" s="11" t="s">
        <v>234</v>
      </c>
      <c r="B37" s="11" t="s">
        <v>38</v>
      </c>
      <c r="C37" s="11" t="s">
        <v>17</v>
      </c>
      <c r="D37" s="11" t="s">
        <v>235</v>
      </c>
      <c r="E37" s="11" t="s">
        <v>236</v>
      </c>
      <c r="F37" s="11" t="s">
        <v>237</v>
      </c>
      <c r="G37" s="11" t="s">
        <v>238</v>
      </c>
      <c r="H37" s="11" t="n">
        <v>1</v>
      </c>
      <c r="I37" s="11" t="s">
        <v>239</v>
      </c>
      <c r="J37" s="10"/>
      <c r="K37" s="11"/>
    </row>
    <row r="38" customFormat="false" ht="22.35" hidden="false" customHeight="false" outlineLevel="0" collapsed="false">
      <c r="A38" s="9" t="s">
        <v>240</v>
      </c>
      <c r="B38" s="9" t="s">
        <v>38</v>
      </c>
      <c r="C38" s="9" t="s">
        <v>17</v>
      </c>
      <c r="D38" s="9" t="s">
        <v>177</v>
      </c>
      <c r="E38" s="9" t="s">
        <v>241</v>
      </c>
      <c r="F38" s="9" t="s">
        <v>242</v>
      </c>
      <c r="G38" s="9" t="s">
        <v>89</v>
      </c>
      <c r="H38" s="9" t="n">
        <v>1</v>
      </c>
      <c r="I38" s="9" t="s">
        <v>243</v>
      </c>
      <c r="J38" s="10"/>
      <c r="K38" s="9"/>
    </row>
    <row r="39" customFormat="false" ht="22.35" hidden="false" customHeight="false" outlineLevel="0" collapsed="false">
      <c r="A39" s="11" t="s">
        <v>244</v>
      </c>
      <c r="B39" s="11" t="s">
        <v>38</v>
      </c>
      <c r="C39" s="11" t="s">
        <v>19</v>
      </c>
      <c r="D39" s="11" t="s">
        <v>245</v>
      </c>
      <c r="E39" s="11" t="s">
        <v>246</v>
      </c>
      <c r="F39" s="11" t="s">
        <v>247</v>
      </c>
      <c r="G39" s="11" t="s">
        <v>248</v>
      </c>
      <c r="H39" s="11" t="n">
        <v>1</v>
      </c>
      <c r="I39" s="11" t="s">
        <v>249</v>
      </c>
      <c r="J39" s="10"/>
      <c r="K39" s="11"/>
    </row>
    <row r="41" customFormat="false" ht="15" hidden="false" customHeight="false" outlineLevel="0" collapsed="false">
      <c r="A41" s="12" t="s">
        <v>250</v>
      </c>
    </row>
  </sheetData>
  <autoFilter ref="A1:K39"/>
  <dataValidations count="1">
    <dataValidation allowBlank="true" errorStyle="stop" operator="between" showDropDown="false" showErrorMessage="false" showInputMessage="false" sqref="J2:J39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60"/>
    <col collapsed="false" customWidth="true" hidden="false" outlineLevel="0" max="7" min="7" style="0" width="44"/>
    <col collapsed="false" customWidth="true" hidden="false" outlineLevel="0" max="8" min="8" style="0" width="7"/>
    <col collapsed="false" customWidth="true" hidden="false" outlineLevel="0" max="9" min="9" style="0" width="52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6.85" hidden="false" customHeight="false" outlineLevel="0" collapsed="false">
      <c r="A1" s="8" t="s">
        <v>27</v>
      </c>
      <c r="B1" s="8" t="s">
        <v>28</v>
      </c>
      <c r="C1" s="8" t="s">
        <v>2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</row>
    <row r="2" customFormat="false" ht="22.35" hidden="false" customHeight="false" outlineLevel="0" collapsed="false">
      <c r="A2" s="9" t="s">
        <v>251</v>
      </c>
      <c r="B2" s="9" t="s">
        <v>252</v>
      </c>
      <c r="C2" s="9" t="s">
        <v>11</v>
      </c>
      <c r="D2" s="9" t="s">
        <v>45</v>
      </c>
      <c r="E2" s="9" t="s">
        <v>253</v>
      </c>
      <c r="F2" s="9" t="s">
        <v>254</v>
      </c>
      <c r="G2" s="9" t="s">
        <v>255</v>
      </c>
      <c r="H2" s="9" t="n">
        <v>1</v>
      </c>
      <c r="I2" s="9" t="s">
        <v>256</v>
      </c>
      <c r="J2" s="10"/>
      <c r="K2" s="9"/>
    </row>
    <row r="3" customFormat="false" ht="15" hidden="false" customHeight="false" outlineLevel="0" collapsed="false">
      <c r="A3" s="11" t="s">
        <v>257</v>
      </c>
      <c r="B3" s="11" t="s">
        <v>252</v>
      </c>
      <c r="C3" s="11" t="s">
        <v>11</v>
      </c>
      <c r="D3" s="11" t="s">
        <v>45</v>
      </c>
      <c r="E3" s="11" t="s">
        <v>258</v>
      </c>
      <c r="F3" s="11" t="s">
        <v>259</v>
      </c>
      <c r="G3" s="11" t="s">
        <v>260</v>
      </c>
      <c r="H3" s="11" t="n">
        <v>1</v>
      </c>
      <c r="I3" s="11" t="s">
        <v>261</v>
      </c>
      <c r="J3" s="10"/>
      <c r="K3" s="11"/>
    </row>
    <row r="4" customFormat="false" ht="22.35" hidden="false" customHeight="false" outlineLevel="0" collapsed="false">
      <c r="A4" s="9" t="s">
        <v>262</v>
      </c>
      <c r="B4" s="9" t="s">
        <v>252</v>
      </c>
      <c r="C4" s="9" t="s">
        <v>11</v>
      </c>
      <c r="D4" s="9" t="s">
        <v>45</v>
      </c>
      <c r="E4" s="9" t="s">
        <v>46</v>
      </c>
      <c r="F4" s="9" t="s">
        <v>263</v>
      </c>
      <c r="G4" s="9" t="s">
        <v>52</v>
      </c>
      <c r="H4" s="9" t="n">
        <v>1</v>
      </c>
      <c r="I4" s="9" t="s">
        <v>264</v>
      </c>
      <c r="J4" s="10"/>
      <c r="K4" s="9"/>
    </row>
    <row r="5" customFormat="false" ht="15" hidden="false" customHeight="false" outlineLevel="0" collapsed="false">
      <c r="A5" s="11" t="s">
        <v>265</v>
      </c>
      <c r="B5" s="11" t="s">
        <v>252</v>
      </c>
      <c r="C5" s="11" t="s">
        <v>11</v>
      </c>
      <c r="D5" s="11" t="s">
        <v>45</v>
      </c>
      <c r="E5" s="11" t="s">
        <v>253</v>
      </c>
      <c r="F5" s="11" t="s">
        <v>266</v>
      </c>
      <c r="G5" s="11" t="s">
        <v>52</v>
      </c>
      <c r="H5" s="11" t="n">
        <v>1</v>
      </c>
      <c r="I5" s="11" t="s">
        <v>267</v>
      </c>
      <c r="J5" s="10"/>
      <c r="K5" s="11"/>
    </row>
    <row r="6" customFormat="false" ht="22.35" hidden="false" customHeight="false" outlineLevel="0" collapsed="false">
      <c r="A6" s="9" t="s">
        <v>268</v>
      </c>
      <c r="B6" s="9" t="s">
        <v>252</v>
      </c>
      <c r="C6" s="9" t="s">
        <v>11</v>
      </c>
      <c r="D6" s="9" t="s">
        <v>45</v>
      </c>
      <c r="E6" s="9" t="s">
        <v>269</v>
      </c>
      <c r="F6" s="9" t="s">
        <v>270</v>
      </c>
      <c r="G6" s="9" t="s">
        <v>271</v>
      </c>
      <c r="H6" s="9" t="n">
        <v>20</v>
      </c>
      <c r="I6" s="9" t="s">
        <v>272</v>
      </c>
      <c r="J6" s="10"/>
      <c r="K6" s="9"/>
    </row>
    <row r="7" customFormat="false" ht="22.35" hidden="false" customHeight="false" outlineLevel="0" collapsed="false">
      <c r="A7" s="11" t="s">
        <v>273</v>
      </c>
      <c r="B7" s="11" t="s">
        <v>252</v>
      </c>
      <c r="C7" s="11" t="s">
        <v>11</v>
      </c>
      <c r="D7" s="11" t="s">
        <v>45</v>
      </c>
      <c r="E7" s="11" t="s">
        <v>258</v>
      </c>
      <c r="F7" s="11" t="s">
        <v>274</v>
      </c>
      <c r="G7" s="11" t="s">
        <v>275</v>
      </c>
      <c r="H7" s="11" t="n">
        <v>1</v>
      </c>
      <c r="I7" s="11" t="s">
        <v>276</v>
      </c>
      <c r="J7" s="10"/>
      <c r="K7" s="11"/>
    </row>
    <row r="8" customFormat="false" ht="15" hidden="false" customHeight="false" outlineLevel="0" collapsed="false">
      <c r="A8" s="9" t="s">
        <v>277</v>
      </c>
      <c r="B8" s="9" t="s">
        <v>252</v>
      </c>
      <c r="C8" s="9" t="s">
        <v>11</v>
      </c>
      <c r="D8" s="9" t="s">
        <v>45</v>
      </c>
      <c r="E8" s="9" t="s">
        <v>46</v>
      </c>
      <c r="F8" s="9" t="s">
        <v>278</v>
      </c>
      <c r="G8" s="9" t="s">
        <v>279</v>
      </c>
      <c r="H8" s="9" t="n">
        <v>1</v>
      </c>
      <c r="I8" s="9" t="s">
        <v>280</v>
      </c>
      <c r="J8" s="10"/>
      <c r="K8" s="9"/>
    </row>
    <row r="9" customFormat="false" ht="22.35" hidden="false" customHeight="false" outlineLevel="0" collapsed="false">
      <c r="A9" s="11" t="s">
        <v>281</v>
      </c>
      <c r="B9" s="11" t="s">
        <v>252</v>
      </c>
      <c r="C9" s="11" t="s">
        <v>11</v>
      </c>
      <c r="D9" s="11" t="s">
        <v>45</v>
      </c>
      <c r="E9" s="11" t="s">
        <v>282</v>
      </c>
      <c r="F9" s="11" t="s">
        <v>283</v>
      </c>
      <c r="G9" s="11" t="s">
        <v>284</v>
      </c>
      <c r="H9" s="11" t="n">
        <v>1</v>
      </c>
      <c r="I9" s="11" t="s">
        <v>285</v>
      </c>
      <c r="J9" s="10"/>
      <c r="K9" s="11"/>
    </row>
    <row r="10" customFormat="false" ht="15" hidden="false" customHeight="false" outlineLevel="0" collapsed="false">
      <c r="A10" s="9" t="s">
        <v>286</v>
      </c>
      <c r="B10" s="9" t="s">
        <v>252</v>
      </c>
      <c r="C10" s="9" t="s">
        <v>11</v>
      </c>
      <c r="D10" s="9" t="s">
        <v>45</v>
      </c>
      <c r="E10" s="9" t="s">
        <v>287</v>
      </c>
      <c r="F10" s="9" t="s">
        <v>288</v>
      </c>
      <c r="G10" s="9" t="s">
        <v>289</v>
      </c>
      <c r="H10" s="9" t="n">
        <v>1</v>
      </c>
      <c r="I10" s="9" t="s">
        <v>290</v>
      </c>
      <c r="J10" s="10"/>
      <c r="K10" s="9"/>
    </row>
    <row r="11" customFormat="false" ht="15" hidden="false" customHeight="false" outlineLevel="0" collapsed="false">
      <c r="A11" s="11" t="s">
        <v>291</v>
      </c>
      <c r="B11" s="11" t="s">
        <v>252</v>
      </c>
      <c r="C11" s="11" t="s">
        <v>11</v>
      </c>
      <c r="D11" s="11" t="s">
        <v>55</v>
      </c>
      <c r="E11" s="11" t="s">
        <v>56</v>
      </c>
      <c r="F11" s="11" t="s">
        <v>292</v>
      </c>
      <c r="G11" s="11" t="s">
        <v>293</v>
      </c>
      <c r="H11" s="11" t="n">
        <v>1</v>
      </c>
      <c r="I11" s="11" t="s">
        <v>294</v>
      </c>
      <c r="J11" s="10"/>
      <c r="K11" s="11"/>
    </row>
    <row r="12" customFormat="false" ht="15" hidden="false" customHeight="false" outlineLevel="0" collapsed="false">
      <c r="A12" s="9" t="s">
        <v>295</v>
      </c>
      <c r="B12" s="9" t="s">
        <v>252</v>
      </c>
      <c r="C12" s="9" t="s">
        <v>11</v>
      </c>
      <c r="D12" s="9" t="s">
        <v>55</v>
      </c>
      <c r="E12" s="9" t="s">
        <v>56</v>
      </c>
      <c r="F12" s="9" t="s">
        <v>296</v>
      </c>
      <c r="G12" s="9" t="s">
        <v>62</v>
      </c>
      <c r="H12" s="9" t="n">
        <v>1</v>
      </c>
      <c r="I12" s="9" t="s">
        <v>297</v>
      </c>
      <c r="J12" s="10"/>
      <c r="K12" s="9"/>
    </row>
    <row r="13" customFormat="false" ht="15" hidden="false" customHeight="false" outlineLevel="0" collapsed="false">
      <c r="A13" s="11" t="s">
        <v>298</v>
      </c>
      <c r="B13" s="11" t="s">
        <v>252</v>
      </c>
      <c r="C13" s="11" t="s">
        <v>11</v>
      </c>
      <c r="D13" s="11" t="s">
        <v>55</v>
      </c>
      <c r="E13" s="11" t="s">
        <v>299</v>
      </c>
      <c r="F13" s="11" t="s">
        <v>300</v>
      </c>
      <c r="G13" s="11" t="s">
        <v>301</v>
      </c>
      <c r="H13" s="11" t="n">
        <v>1</v>
      </c>
      <c r="I13" s="11" t="s">
        <v>302</v>
      </c>
      <c r="J13" s="10"/>
      <c r="K13" s="11"/>
    </row>
    <row r="14" customFormat="false" ht="22.35" hidden="false" customHeight="false" outlineLevel="0" collapsed="false">
      <c r="A14" s="9" t="s">
        <v>303</v>
      </c>
      <c r="B14" s="9" t="s">
        <v>252</v>
      </c>
      <c r="C14" s="9" t="s">
        <v>11</v>
      </c>
      <c r="D14" s="9" t="s">
        <v>55</v>
      </c>
      <c r="E14" s="9" t="s">
        <v>56</v>
      </c>
      <c r="F14" s="9" t="s">
        <v>304</v>
      </c>
      <c r="G14" s="9" t="s">
        <v>305</v>
      </c>
      <c r="H14" s="9" t="n">
        <v>1</v>
      </c>
      <c r="I14" s="9" t="s">
        <v>306</v>
      </c>
      <c r="J14" s="10"/>
      <c r="K14" s="9"/>
    </row>
    <row r="15" customFormat="false" ht="15" hidden="false" customHeight="false" outlineLevel="0" collapsed="false">
      <c r="A15" s="11" t="s">
        <v>307</v>
      </c>
      <c r="B15" s="11" t="s">
        <v>252</v>
      </c>
      <c r="C15" s="11" t="s">
        <v>11</v>
      </c>
      <c r="D15" s="11" t="s">
        <v>55</v>
      </c>
      <c r="E15" s="11" t="s">
        <v>56</v>
      </c>
      <c r="F15" s="11" t="s">
        <v>308</v>
      </c>
      <c r="G15" s="11" t="s">
        <v>309</v>
      </c>
      <c r="H15" s="11" t="n">
        <v>1</v>
      </c>
      <c r="I15" s="11" t="s">
        <v>310</v>
      </c>
      <c r="J15" s="10"/>
      <c r="K15" s="11"/>
    </row>
    <row r="16" customFormat="false" ht="22.35" hidden="false" customHeight="false" outlineLevel="0" collapsed="false">
      <c r="A16" s="9" t="s">
        <v>311</v>
      </c>
      <c r="B16" s="9" t="s">
        <v>252</v>
      </c>
      <c r="C16" s="9" t="s">
        <v>11</v>
      </c>
      <c r="D16" s="9" t="s">
        <v>65</v>
      </c>
      <c r="E16" s="9" t="s">
        <v>312</v>
      </c>
      <c r="F16" s="9" t="s">
        <v>313</v>
      </c>
      <c r="G16" s="9" t="s">
        <v>314</v>
      </c>
      <c r="H16" s="9" t="n">
        <v>1</v>
      </c>
      <c r="I16" s="9" t="s">
        <v>315</v>
      </c>
      <c r="J16" s="10"/>
      <c r="K16" s="9"/>
    </row>
    <row r="17" customFormat="false" ht="22.35" hidden="false" customHeight="false" outlineLevel="0" collapsed="false">
      <c r="A17" s="11" t="s">
        <v>316</v>
      </c>
      <c r="B17" s="11" t="s">
        <v>252</v>
      </c>
      <c r="C17" s="11" t="s">
        <v>11</v>
      </c>
      <c r="D17" s="11" t="s">
        <v>65</v>
      </c>
      <c r="E17" s="11" t="s">
        <v>71</v>
      </c>
      <c r="F17" s="11" t="s">
        <v>317</v>
      </c>
      <c r="G17" s="11" t="s">
        <v>318</v>
      </c>
      <c r="H17" s="11" t="n">
        <v>4</v>
      </c>
      <c r="I17" s="11" t="s">
        <v>319</v>
      </c>
      <c r="J17" s="10"/>
      <c r="K17" s="11"/>
    </row>
    <row r="18" customFormat="false" ht="15" hidden="false" customHeight="false" outlineLevel="0" collapsed="false">
      <c r="A18" s="9" t="s">
        <v>320</v>
      </c>
      <c r="B18" s="9" t="s">
        <v>252</v>
      </c>
      <c r="C18" s="9" t="s">
        <v>11</v>
      </c>
      <c r="D18" s="9" t="s">
        <v>65</v>
      </c>
      <c r="E18" s="9" t="s">
        <v>71</v>
      </c>
      <c r="F18" s="9" t="s">
        <v>321</v>
      </c>
      <c r="G18" s="9" t="s">
        <v>62</v>
      </c>
      <c r="H18" s="9" t="n">
        <v>1</v>
      </c>
      <c r="I18" s="9" t="s">
        <v>322</v>
      </c>
      <c r="J18" s="10"/>
      <c r="K18" s="9"/>
    </row>
    <row r="19" customFormat="false" ht="15" hidden="false" customHeight="false" outlineLevel="0" collapsed="false">
      <c r="A19" s="11" t="s">
        <v>323</v>
      </c>
      <c r="B19" s="11" t="s">
        <v>252</v>
      </c>
      <c r="C19" s="11" t="s">
        <v>11</v>
      </c>
      <c r="D19" s="11" t="s">
        <v>65</v>
      </c>
      <c r="E19" s="11" t="s">
        <v>71</v>
      </c>
      <c r="F19" s="11" t="s">
        <v>324</v>
      </c>
      <c r="G19" s="11" t="s">
        <v>62</v>
      </c>
      <c r="H19" s="11" t="n">
        <v>1</v>
      </c>
      <c r="I19" s="11" t="s">
        <v>325</v>
      </c>
      <c r="J19" s="10"/>
      <c r="K19" s="11"/>
    </row>
    <row r="20" customFormat="false" ht="22.35" hidden="false" customHeight="false" outlineLevel="0" collapsed="false">
      <c r="A20" s="9" t="s">
        <v>326</v>
      </c>
      <c r="B20" s="9" t="s">
        <v>252</v>
      </c>
      <c r="C20" s="9" t="s">
        <v>11</v>
      </c>
      <c r="D20" s="9" t="s">
        <v>65</v>
      </c>
      <c r="E20" s="9" t="s">
        <v>327</v>
      </c>
      <c r="F20" s="9" t="s">
        <v>328</v>
      </c>
      <c r="G20" s="9" t="s">
        <v>329</v>
      </c>
      <c r="H20" s="9" t="n">
        <v>1</v>
      </c>
      <c r="I20" s="9" t="s">
        <v>330</v>
      </c>
      <c r="J20" s="10"/>
      <c r="K20" s="9"/>
    </row>
    <row r="21" customFormat="false" ht="15" hidden="false" customHeight="false" outlineLevel="0" collapsed="false">
      <c r="A21" s="11" t="s">
        <v>331</v>
      </c>
      <c r="B21" s="11" t="s">
        <v>252</v>
      </c>
      <c r="C21" s="11" t="s">
        <v>11</v>
      </c>
      <c r="D21" s="11" t="s">
        <v>65</v>
      </c>
      <c r="E21" s="11" t="s">
        <v>71</v>
      </c>
      <c r="F21" s="11" t="s">
        <v>332</v>
      </c>
      <c r="G21" s="11" t="s">
        <v>62</v>
      </c>
      <c r="H21" s="11" t="n">
        <v>1</v>
      </c>
      <c r="I21" s="11" t="s">
        <v>333</v>
      </c>
      <c r="J21" s="10"/>
      <c r="K21" s="11"/>
    </row>
    <row r="22" customFormat="false" ht="15" hidden="false" customHeight="false" outlineLevel="0" collapsed="false">
      <c r="A22" s="9" t="s">
        <v>334</v>
      </c>
      <c r="B22" s="9" t="s">
        <v>252</v>
      </c>
      <c r="C22" s="9" t="s">
        <v>11</v>
      </c>
      <c r="D22" s="9" t="s">
        <v>65</v>
      </c>
      <c r="E22" s="9" t="s">
        <v>71</v>
      </c>
      <c r="F22" s="9" t="s">
        <v>335</v>
      </c>
      <c r="G22" s="9" t="s">
        <v>62</v>
      </c>
      <c r="H22" s="9" t="n">
        <v>1</v>
      </c>
      <c r="I22" s="9" t="s">
        <v>336</v>
      </c>
      <c r="J22" s="10"/>
      <c r="K22" s="9"/>
    </row>
    <row r="23" customFormat="false" ht="22.35" hidden="false" customHeight="false" outlineLevel="0" collapsed="false">
      <c r="A23" s="11" t="s">
        <v>337</v>
      </c>
      <c r="B23" s="11" t="s">
        <v>252</v>
      </c>
      <c r="C23" s="11" t="s">
        <v>11</v>
      </c>
      <c r="D23" s="11" t="s">
        <v>92</v>
      </c>
      <c r="E23" s="11" t="s">
        <v>338</v>
      </c>
      <c r="F23" s="11" t="s">
        <v>339</v>
      </c>
      <c r="G23" s="11" t="s">
        <v>340</v>
      </c>
      <c r="H23" s="11" t="n">
        <v>1</v>
      </c>
      <c r="I23" s="11" t="s">
        <v>341</v>
      </c>
      <c r="J23" s="10"/>
      <c r="K23" s="11"/>
    </row>
    <row r="24" customFormat="false" ht="22.35" hidden="false" customHeight="false" outlineLevel="0" collapsed="false">
      <c r="A24" s="9" t="s">
        <v>342</v>
      </c>
      <c r="B24" s="9" t="s">
        <v>252</v>
      </c>
      <c r="C24" s="9" t="s">
        <v>11</v>
      </c>
      <c r="D24" s="9" t="s">
        <v>65</v>
      </c>
      <c r="E24" s="9" t="s">
        <v>343</v>
      </c>
      <c r="F24" s="9" t="s">
        <v>344</v>
      </c>
      <c r="G24" s="9" t="s">
        <v>62</v>
      </c>
      <c r="H24" s="9" t="n">
        <v>1</v>
      </c>
      <c r="I24" s="9" t="s">
        <v>345</v>
      </c>
      <c r="J24" s="10"/>
      <c r="K24" s="9"/>
    </row>
    <row r="25" customFormat="false" ht="15" hidden="false" customHeight="false" outlineLevel="0" collapsed="false">
      <c r="A25" s="11" t="s">
        <v>346</v>
      </c>
      <c r="B25" s="11" t="s">
        <v>252</v>
      </c>
      <c r="C25" s="11" t="s">
        <v>11</v>
      </c>
      <c r="D25" s="11" t="s">
        <v>55</v>
      </c>
      <c r="E25" s="11" t="s">
        <v>343</v>
      </c>
      <c r="F25" s="11" t="s">
        <v>347</v>
      </c>
      <c r="G25" s="11" t="s">
        <v>62</v>
      </c>
      <c r="H25" s="11" t="n">
        <v>1</v>
      </c>
      <c r="I25" s="11" t="s">
        <v>348</v>
      </c>
      <c r="J25" s="10"/>
      <c r="K25" s="11"/>
    </row>
    <row r="26" customFormat="false" ht="22.35" hidden="false" customHeight="false" outlineLevel="0" collapsed="false">
      <c r="A26" s="9" t="s">
        <v>349</v>
      </c>
      <c r="B26" s="9" t="s">
        <v>252</v>
      </c>
      <c r="C26" s="9" t="s">
        <v>11</v>
      </c>
      <c r="D26" s="9" t="s">
        <v>350</v>
      </c>
      <c r="E26" s="9" t="s">
        <v>287</v>
      </c>
      <c r="F26" s="9" t="s">
        <v>351</v>
      </c>
      <c r="G26" s="9" t="s">
        <v>352</v>
      </c>
      <c r="H26" s="9" t="n">
        <v>1</v>
      </c>
      <c r="I26" s="9" t="s">
        <v>353</v>
      </c>
      <c r="J26" s="10"/>
      <c r="K26" s="9"/>
    </row>
    <row r="27" customFormat="false" ht="15" hidden="false" customHeight="false" outlineLevel="0" collapsed="false">
      <c r="A27" s="11" t="s">
        <v>354</v>
      </c>
      <c r="B27" s="11" t="s">
        <v>252</v>
      </c>
      <c r="C27" s="11" t="s">
        <v>11</v>
      </c>
      <c r="D27" s="11" t="s">
        <v>75</v>
      </c>
      <c r="E27" s="11" t="s">
        <v>76</v>
      </c>
      <c r="F27" s="11" t="s">
        <v>355</v>
      </c>
      <c r="G27" s="11" t="s">
        <v>356</v>
      </c>
      <c r="H27" s="11" t="n">
        <v>1</v>
      </c>
      <c r="I27" s="11" t="s">
        <v>357</v>
      </c>
      <c r="J27" s="10"/>
      <c r="K27" s="11"/>
    </row>
    <row r="28" customFormat="false" ht="15" hidden="false" customHeight="false" outlineLevel="0" collapsed="false">
      <c r="A28" s="9" t="s">
        <v>358</v>
      </c>
      <c r="B28" s="9" t="s">
        <v>252</v>
      </c>
      <c r="C28" s="9" t="s">
        <v>11</v>
      </c>
      <c r="D28" s="9" t="s">
        <v>75</v>
      </c>
      <c r="E28" s="9" t="s">
        <v>76</v>
      </c>
      <c r="F28" s="9" t="s">
        <v>359</v>
      </c>
      <c r="G28" s="9" t="s">
        <v>360</v>
      </c>
      <c r="H28" s="9" t="n">
        <v>1</v>
      </c>
      <c r="I28" s="9" t="s">
        <v>361</v>
      </c>
      <c r="J28" s="10"/>
      <c r="K28" s="9"/>
    </row>
    <row r="29" customFormat="false" ht="15" hidden="false" customHeight="false" outlineLevel="0" collapsed="false">
      <c r="A29" s="11" t="s">
        <v>362</v>
      </c>
      <c r="B29" s="11" t="s">
        <v>252</v>
      </c>
      <c r="C29" s="11" t="s">
        <v>11</v>
      </c>
      <c r="D29" s="11" t="s">
        <v>75</v>
      </c>
      <c r="E29" s="11" t="s">
        <v>363</v>
      </c>
      <c r="F29" s="11" t="s">
        <v>364</v>
      </c>
      <c r="G29" s="11" t="s">
        <v>365</v>
      </c>
      <c r="H29" s="11" t="n">
        <v>3</v>
      </c>
      <c r="I29" s="11" t="s">
        <v>366</v>
      </c>
      <c r="J29" s="10"/>
      <c r="K29" s="11"/>
    </row>
    <row r="30" customFormat="false" ht="32.8" hidden="false" customHeight="false" outlineLevel="0" collapsed="false">
      <c r="A30" s="9" t="s">
        <v>367</v>
      </c>
      <c r="B30" s="9" t="s">
        <v>252</v>
      </c>
      <c r="C30" s="9" t="s">
        <v>11</v>
      </c>
      <c r="D30" s="9" t="s">
        <v>75</v>
      </c>
      <c r="E30" s="9" t="s">
        <v>76</v>
      </c>
      <c r="F30" s="9" t="s">
        <v>368</v>
      </c>
      <c r="G30" s="9" t="s">
        <v>369</v>
      </c>
      <c r="H30" s="9" t="n">
        <v>1</v>
      </c>
      <c r="I30" s="9" t="s">
        <v>370</v>
      </c>
      <c r="J30" s="10"/>
      <c r="K30" s="9"/>
    </row>
    <row r="31" customFormat="false" ht="15" hidden="false" customHeight="false" outlineLevel="0" collapsed="false">
      <c r="A31" s="11" t="s">
        <v>371</v>
      </c>
      <c r="B31" s="11" t="s">
        <v>252</v>
      </c>
      <c r="C31" s="11" t="s">
        <v>11</v>
      </c>
      <c r="D31" s="11" t="s">
        <v>75</v>
      </c>
      <c r="E31" s="11" t="s">
        <v>372</v>
      </c>
      <c r="F31" s="11" t="s">
        <v>373</v>
      </c>
      <c r="G31" s="11" t="s">
        <v>374</v>
      </c>
      <c r="H31" s="11" t="n">
        <v>1</v>
      </c>
      <c r="I31" s="11" t="s">
        <v>375</v>
      </c>
      <c r="J31" s="10"/>
      <c r="K31" s="11"/>
    </row>
    <row r="32" customFormat="false" ht="22.35" hidden="false" customHeight="false" outlineLevel="0" collapsed="false">
      <c r="A32" s="9" t="s">
        <v>376</v>
      </c>
      <c r="B32" s="9" t="s">
        <v>252</v>
      </c>
      <c r="C32" s="9" t="s">
        <v>15</v>
      </c>
      <c r="D32" s="9" t="s">
        <v>137</v>
      </c>
      <c r="E32" s="9" t="s">
        <v>377</v>
      </c>
      <c r="F32" s="9" t="s">
        <v>378</v>
      </c>
      <c r="G32" s="9" t="s">
        <v>379</v>
      </c>
      <c r="H32" s="9" t="n">
        <v>1</v>
      </c>
      <c r="I32" s="9" t="s">
        <v>380</v>
      </c>
      <c r="J32" s="10"/>
      <c r="K32" s="9"/>
    </row>
    <row r="33" customFormat="false" ht="15" hidden="false" customHeight="false" outlineLevel="0" collapsed="false">
      <c r="A33" s="11" t="s">
        <v>381</v>
      </c>
      <c r="B33" s="11" t="s">
        <v>252</v>
      </c>
      <c r="C33" s="11" t="s">
        <v>15</v>
      </c>
      <c r="D33" s="11" t="s">
        <v>137</v>
      </c>
      <c r="E33" s="11" t="s">
        <v>382</v>
      </c>
      <c r="F33" s="11" t="s">
        <v>383</v>
      </c>
      <c r="G33" s="11" t="s">
        <v>384</v>
      </c>
      <c r="H33" s="11" t="n">
        <v>2</v>
      </c>
      <c r="I33" s="11" t="s">
        <v>385</v>
      </c>
      <c r="J33" s="10"/>
      <c r="K33" s="11"/>
    </row>
    <row r="34" customFormat="false" ht="15" hidden="false" customHeight="false" outlineLevel="0" collapsed="false">
      <c r="A34" s="9" t="s">
        <v>386</v>
      </c>
      <c r="B34" s="9" t="s">
        <v>252</v>
      </c>
      <c r="C34" s="9" t="s">
        <v>15</v>
      </c>
      <c r="D34" s="9" t="s">
        <v>137</v>
      </c>
      <c r="E34" s="9" t="s">
        <v>387</v>
      </c>
      <c r="F34" s="9" t="s">
        <v>388</v>
      </c>
      <c r="G34" s="9" t="s">
        <v>365</v>
      </c>
      <c r="H34" s="9" t="n">
        <v>1</v>
      </c>
      <c r="I34" s="9" t="s">
        <v>389</v>
      </c>
      <c r="J34" s="10"/>
      <c r="K34" s="9"/>
    </row>
    <row r="35" customFormat="false" ht="22.35" hidden="false" customHeight="false" outlineLevel="0" collapsed="false">
      <c r="A35" s="11" t="s">
        <v>390</v>
      </c>
      <c r="B35" s="11" t="s">
        <v>252</v>
      </c>
      <c r="C35" s="11" t="s">
        <v>15</v>
      </c>
      <c r="D35" s="11" t="s">
        <v>137</v>
      </c>
      <c r="E35" s="11" t="s">
        <v>391</v>
      </c>
      <c r="F35" s="11" t="s">
        <v>392</v>
      </c>
      <c r="G35" s="11" t="s">
        <v>393</v>
      </c>
      <c r="H35" s="11" t="n">
        <v>1</v>
      </c>
      <c r="I35" s="11" t="s">
        <v>394</v>
      </c>
      <c r="J35" s="10"/>
      <c r="K35" s="11"/>
    </row>
    <row r="36" customFormat="false" ht="22.35" hidden="false" customHeight="false" outlineLevel="0" collapsed="false">
      <c r="A36" s="9" t="s">
        <v>395</v>
      </c>
      <c r="B36" s="9" t="s">
        <v>252</v>
      </c>
      <c r="C36" s="9" t="s">
        <v>15</v>
      </c>
      <c r="D36" s="9" t="s">
        <v>137</v>
      </c>
      <c r="E36" s="9" t="s">
        <v>396</v>
      </c>
      <c r="F36" s="9" t="s">
        <v>397</v>
      </c>
      <c r="G36" s="9" t="s">
        <v>398</v>
      </c>
      <c r="H36" s="9" t="n">
        <v>1</v>
      </c>
      <c r="I36" s="9" t="s">
        <v>399</v>
      </c>
      <c r="J36" s="10"/>
      <c r="K36" s="9"/>
    </row>
    <row r="37" customFormat="false" ht="22.35" hidden="false" customHeight="false" outlineLevel="0" collapsed="false">
      <c r="A37" s="11" t="s">
        <v>400</v>
      </c>
      <c r="B37" s="11" t="s">
        <v>252</v>
      </c>
      <c r="C37" s="11" t="s">
        <v>15</v>
      </c>
      <c r="D37" s="11" t="s">
        <v>137</v>
      </c>
      <c r="E37" s="11" t="s">
        <v>401</v>
      </c>
      <c r="F37" s="11" t="s">
        <v>402</v>
      </c>
      <c r="G37" s="11" t="s">
        <v>403</v>
      </c>
      <c r="H37" s="11" t="n">
        <v>3</v>
      </c>
      <c r="I37" s="11" t="s">
        <v>404</v>
      </c>
      <c r="J37" s="10"/>
      <c r="K37" s="11"/>
    </row>
    <row r="38" customFormat="false" ht="32.8" hidden="false" customHeight="false" outlineLevel="0" collapsed="false">
      <c r="A38" s="9" t="s">
        <v>405</v>
      </c>
      <c r="B38" s="9" t="s">
        <v>252</v>
      </c>
      <c r="C38" s="9" t="s">
        <v>15</v>
      </c>
      <c r="D38" s="9" t="s">
        <v>137</v>
      </c>
      <c r="E38" s="9" t="s">
        <v>406</v>
      </c>
      <c r="F38" s="9" t="s">
        <v>407</v>
      </c>
      <c r="G38" s="9" t="s">
        <v>408</v>
      </c>
      <c r="H38" s="9" t="n">
        <v>1</v>
      </c>
      <c r="I38" s="9" t="s">
        <v>409</v>
      </c>
      <c r="J38" s="10"/>
      <c r="K38" s="9"/>
    </row>
    <row r="39" customFormat="false" ht="22.35" hidden="false" customHeight="false" outlineLevel="0" collapsed="false">
      <c r="A39" s="11" t="s">
        <v>410</v>
      </c>
      <c r="B39" s="11" t="s">
        <v>252</v>
      </c>
      <c r="C39" s="11" t="s">
        <v>15</v>
      </c>
      <c r="D39" s="11" t="s">
        <v>137</v>
      </c>
      <c r="E39" s="11" t="s">
        <v>411</v>
      </c>
      <c r="F39" s="11" t="s">
        <v>412</v>
      </c>
      <c r="G39" s="11" t="s">
        <v>403</v>
      </c>
      <c r="H39" s="11" t="n">
        <v>3</v>
      </c>
      <c r="I39" s="11" t="s">
        <v>413</v>
      </c>
      <c r="J39" s="10"/>
      <c r="K39" s="11"/>
    </row>
    <row r="40" customFormat="false" ht="22.35" hidden="false" customHeight="false" outlineLevel="0" collapsed="false">
      <c r="A40" s="9" t="s">
        <v>414</v>
      </c>
      <c r="B40" s="9" t="s">
        <v>252</v>
      </c>
      <c r="C40" s="9" t="s">
        <v>15</v>
      </c>
      <c r="D40" s="9" t="s">
        <v>137</v>
      </c>
      <c r="E40" s="9" t="s">
        <v>415</v>
      </c>
      <c r="F40" s="9" t="s">
        <v>416</v>
      </c>
      <c r="G40" s="9" t="s">
        <v>417</v>
      </c>
      <c r="H40" s="9" t="n">
        <v>1</v>
      </c>
      <c r="I40" s="9" t="s">
        <v>418</v>
      </c>
      <c r="J40" s="10"/>
      <c r="K40" s="9"/>
    </row>
    <row r="41" customFormat="false" ht="22.35" hidden="false" customHeight="false" outlineLevel="0" collapsed="false">
      <c r="A41" s="11" t="s">
        <v>419</v>
      </c>
      <c r="B41" s="11" t="s">
        <v>252</v>
      </c>
      <c r="C41" s="11" t="s">
        <v>15</v>
      </c>
      <c r="D41" s="11" t="s">
        <v>137</v>
      </c>
      <c r="E41" s="11" t="s">
        <v>420</v>
      </c>
      <c r="F41" s="11" t="s">
        <v>421</v>
      </c>
      <c r="G41" s="11" t="s">
        <v>422</v>
      </c>
      <c r="H41" s="11" t="n">
        <v>3</v>
      </c>
      <c r="I41" s="11" t="s">
        <v>423</v>
      </c>
      <c r="J41" s="10"/>
      <c r="K41" s="11"/>
    </row>
    <row r="42" customFormat="false" ht="32.8" hidden="false" customHeight="false" outlineLevel="0" collapsed="false">
      <c r="A42" s="9" t="s">
        <v>424</v>
      </c>
      <c r="B42" s="9" t="s">
        <v>252</v>
      </c>
      <c r="C42" s="9" t="s">
        <v>15</v>
      </c>
      <c r="D42" s="9" t="s">
        <v>137</v>
      </c>
      <c r="E42" s="9" t="s">
        <v>143</v>
      </c>
      <c r="F42" s="9" t="s">
        <v>425</v>
      </c>
      <c r="G42" s="9" t="s">
        <v>426</v>
      </c>
      <c r="H42" s="9" t="n">
        <v>1</v>
      </c>
      <c r="I42" s="9" t="s">
        <v>427</v>
      </c>
      <c r="J42" s="10"/>
      <c r="K42" s="9"/>
    </row>
    <row r="43" customFormat="false" ht="22.35" hidden="false" customHeight="false" outlineLevel="0" collapsed="false">
      <c r="A43" s="11" t="s">
        <v>428</v>
      </c>
      <c r="B43" s="11" t="s">
        <v>252</v>
      </c>
      <c r="C43" s="11" t="s">
        <v>15</v>
      </c>
      <c r="D43" s="11" t="s">
        <v>137</v>
      </c>
      <c r="E43" s="11" t="s">
        <v>429</v>
      </c>
      <c r="F43" s="11" t="s">
        <v>430</v>
      </c>
      <c r="G43" s="11" t="s">
        <v>197</v>
      </c>
      <c r="H43" s="11" t="n">
        <v>1</v>
      </c>
      <c r="I43" s="11" t="s">
        <v>431</v>
      </c>
      <c r="J43" s="10"/>
      <c r="K43" s="11"/>
    </row>
    <row r="44" customFormat="false" ht="22.35" hidden="false" customHeight="false" outlineLevel="0" collapsed="false">
      <c r="A44" s="9" t="s">
        <v>432</v>
      </c>
      <c r="B44" s="9" t="s">
        <v>252</v>
      </c>
      <c r="C44" s="9" t="s">
        <v>15</v>
      </c>
      <c r="D44" s="9" t="s">
        <v>137</v>
      </c>
      <c r="E44" s="9" t="s">
        <v>433</v>
      </c>
      <c r="F44" s="9" t="s">
        <v>434</v>
      </c>
      <c r="G44" s="9" t="s">
        <v>435</v>
      </c>
      <c r="H44" s="9" t="n">
        <v>1</v>
      </c>
      <c r="I44" s="9" t="s">
        <v>436</v>
      </c>
      <c r="J44" s="10"/>
      <c r="K44" s="9"/>
    </row>
    <row r="45" customFormat="false" ht="15" hidden="false" customHeight="false" outlineLevel="0" collapsed="false">
      <c r="A45" s="11" t="s">
        <v>437</v>
      </c>
      <c r="B45" s="11" t="s">
        <v>252</v>
      </c>
      <c r="C45" s="11" t="s">
        <v>15</v>
      </c>
      <c r="D45" s="11" t="s">
        <v>137</v>
      </c>
      <c r="E45" s="11" t="s">
        <v>138</v>
      </c>
      <c r="F45" s="11" t="s">
        <v>438</v>
      </c>
      <c r="G45" s="11" t="s">
        <v>365</v>
      </c>
      <c r="H45" s="11" t="n">
        <v>6</v>
      </c>
      <c r="I45" s="11" t="s">
        <v>439</v>
      </c>
      <c r="J45" s="10"/>
      <c r="K45" s="11"/>
    </row>
    <row r="46" customFormat="false" ht="22.35" hidden="false" customHeight="false" outlineLevel="0" collapsed="false">
      <c r="A46" s="9" t="s">
        <v>440</v>
      </c>
      <c r="B46" s="9" t="s">
        <v>252</v>
      </c>
      <c r="C46" s="9" t="s">
        <v>15</v>
      </c>
      <c r="D46" s="9" t="s">
        <v>137</v>
      </c>
      <c r="E46" s="9" t="s">
        <v>441</v>
      </c>
      <c r="F46" s="9" t="s">
        <v>442</v>
      </c>
      <c r="G46" s="9" t="s">
        <v>443</v>
      </c>
      <c r="H46" s="9" t="n">
        <v>1</v>
      </c>
      <c r="I46" s="9" t="s">
        <v>444</v>
      </c>
      <c r="J46" s="10"/>
      <c r="K46" s="9"/>
    </row>
    <row r="47" customFormat="false" ht="22.35" hidden="false" customHeight="false" outlineLevel="0" collapsed="false">
      <c r="A47" s="11" t="s">
        <v>445</v>
      </c>
      <c r="B47" s="11" t="s">
        <v>252</v>
      </c>
      <c r="C47" s="11" t="s">
        <v>15</v>
      </c>
      <c r="D47" s="11" t="s">
        <v>137</v>
      </c>
      <c r="E47" s="11" t="s">
        <v>343</v>
      </c>
      <c r="F47" s="11" t="s">
        <v>446</v>
      </c>
      <c r="G47" s="11" t="s">
        <v>62</v>
      </c>
      <c r="H47" s="11" t="n">
        <v>1</v>
      </c>
      <c r="I47" s="11" t="s">
        <v>447</v>
      </c>
      <c r="J47" s="10"/>
      <c r="K47" s="11"/>
    </row>
    <row r="48" customFormat="false" ht="15" hidden="false" customHeight="false" outlineLevel="0" collapsed="false">
      <c r="A48" s="9" t="s">
        <v>448</v>
      </c>
      <c r="B48" s="9" t="s">
        <v>252</v>
      </c>
      <c r="C48" s="9" t="s">
        <v>15</v>
      </c>
      <c r="D48" s="9" t="s">
        <v>147</v>
      </c>
      <c r="E48" s="9" t="s">
        <v>449</v>
      </c>
      <c r="F48" s="9" t="s">
        <v>450</v>
      </c>
      <c r="G48" s="9" t="s">
        <v>451</v>
      </c>
      <c r="H48" s="9" t="n">
        <v>1</v>
      </c>
      <c r="I48" s="9" t="s">
        <v>452</v>
      </c>
      <c r="J48" s="10"/>
      <c r="K48" s="9"/>
    </row>
    <row r="49" customFormat="false" ht="32.8" hidden="false" customHeight="false" outlineLevel="0" collapsed="false">
      <c r="A49" s="11" t="s">
        <v>453</v>
      </c>
      <c r="B49" s="11" t="s">
        <v>252</v>
      </c>
      <c r="C49" s="11" t="s">
        <v>15</v>
      </c>
      <c r="D49" s="11" t="s">
        <v>147</v>
      </c>
      <c r="E49" s="11" t="s">
        <v>454</v>
      </c>
      <c r="F49" s="11" t="s">
        <v>455</v>
      </c>
      <c r="G49" s="11" t="s">
        <v>456</v>
      </c>
      <c r="H49" s="11" t="n">
        <v>1</v>
      </c>
      <c r="I49" s="11" t="s">
        <v>457</v>
      </c>
      <c r="J49" s="10"/>
      <c r="K49" s="11"/>
    </row>
    <row r="50" customFormat="false" ht="15" hidden="false" customHeight="false" outlineLevel="0" collapsed="false">
      <c r="A50" s="9" t="s">
        <v>458</v>
      </c>
      <c r="B50" s="9" t="s">
        <v>252</v>
      </c>
      <c r="C50" s="9" t="s">
        <v>15</v>
      </c>
      <c r="D50" s="9" t="s">
        <v>147</v>
      </c>
      <c r="E50" s="9" t="s">
        <v>459</v>
      </c>
      <c r="F50" s="9" t="s">
        <v>460</v>
      </c>
      <c r="G50" s="9" t="s">
        <v>461</v>
      </c>
      <c r="H50" s="9" t="n">
        <v>1</v>
      </c>
      <c r="I50" s="9" t="s">
        <v>462</v>
      </c>
      <c r="J50" s="10"/>
      <c r="K50" s="9"/>
    </row>
    <row r="51" customFormat="false" ht="22.35" hidden="false" customHeight="false" outlineLevel="0" collapsed="false">
      <c r="A51" s="11" t="s">
        <v>463</v>
      </c>
      <c r="B51" s="11" t="s">
        <v>252</v>
      </c>
      <c r="C51" s="11" t="s">
        <v>15</v>
      </c>
      <c r="D51" s="11" t="s">
        <v>147</v>
      </c>
      <c r="E51" s="11" t="s">
        <v>464</v>
      </c>
      <c r="F51" s="11" t="s">
        <v>465</v>
      </c>
      <c r="G51" s="11" t="s">
        <v>466</v>
      </c>
      <c r="H51" s="11" t="n">
        <v>1</v>
      </c>
      <c r="I51" s="11" t="s">
        <v>467</v>
      </c>
      <c r="J51" s="10"/>
      <c r="K51" s="11"/>
    </row>
    <row r="52" customFormat="false" ht="15" hidden="false" customHeight="false" outlineLevel="0" collapsed="false">
      <c r="A52" s="9" t="s">
        <v>468</v>
      </c>
      <c r="B52" s="9" t="s">
        <v>252</v>
      </c>
      <c r="C52" s="9" t="s">
        <v>15</v>
      </c>
      <c r="D52" s="9" t="s">
        <v>147</v>
      </c>
      <c r="E52" s="9" t="s">
        <v>469</v>
      </c>
      <c r="F52" s="9" t="s">
        <v>470</v>
      </c>
      <c r="G52" s="9" t="s">
        <v>365</v>
      </c>
      <c r="H52" s="9" t="n">
        <v>5</v>
      </c>
      <c r="I52" s="9" t="s">
        <v>471</v>
      </c>
      <c r="J52" s="10"/>
      <c r="K52" s="9"/>
    </row>
    <row r="53" customFormat="false" ht="22.35" hidden="false" customHeight="false" outlineLevel="0" collapsed="false">
      <c r="A53" s="11" t="s">
        <v>472</v>
      </c>
      <c r="B53" s="11" t="s">
        <v>252</v>
      </c>
      <c r="C53" s="11" t="s">
        <v>15</v>
      </c>
      <c r="D53" s="11" t="s">
        <v>147</v>
      </c>
      <c r="E53" s="11" t="s">
        <v>473</v>
      </c>
      <c r="F53" s="11" t="s">
        <v>474</v>
      </c>
      <c r="G53" s="11" t="s">
        <v>475</v>
      </c>
      <c r="H53" s="11" t="n">
        <v>1</v>
      </c>
      <c r="I53" s="11" t="s">
        <v>476</v>
      </c>
      <c r="J53" s="10"/>
      <c r="K53" s="11"/>
    </row>
    <row r="54" customFormat="false" ht="15" hidden="false" customHeight="false" outlineLevel="0" collapsed="false">
      <c r="A54" s="9" t="s">
        <v>477</v>
      </c>
      <c r="B54" s="9" t="s">
        <v>252</v>
      </c>
      <c r="C54" s="9" t="s">
        <v>15</v>
      </c>
      <c r="D54" s="9" t="s">
        <v>153</v>
      </c>
      <c r="E54" s="9" t="s">
        <v>478</v>
      </c>
      <c r="F54" s="9" t="s">
        <v>479</v>
      </c>
      <c r="G54" s="9" t="s">
        <v>480</v>
      </c>
      <c r="H54" s="9" t="n">
        <v>1</v>
      </c>
      <c r="I54" s="9" t="s">
        <v>481</v>
      </c>
      <c r="J54" s="10"/>
      <c r="K54" s="9"/>
    </row>
    <row r="55" customFormat="false" ht="15" hidden="false" customHeight="false" outlineLevel="0" collapsed="false">
      <c r="A55" s="11" t="s">
        <v>482</v>
      </c>
      <c r="B55" s="11" t="s">
        <v>252</v>
      </c>
      <c r="C55" s="11" t="s">
        <v>15</v>
      </c>
      <c r="D55" s="11" t="s">
        <v>153</v>
      </c>
      <c r="E55" s="11" t="s">
        <v>154</v>
      </c>
      <c r="F55" s="11" t="s">
        <v>483</v>
      </c>
      <c r="G55" s="11" t="s">
        <v>484</v>
      </c>
      <c r="H55" s="11" t="n">
        <v>1</v>
      </c>
      <c r="I55" s="11" t="s">
        <v>485</v>
      </c>
      <c r="J55" s="10"/>
      <c r="K55" s="11"/>
    </row>
    <row r="56" customFormat="false" ht="22.35" hidden="false" customHeight="false" outlineLevel="0" collapsed="false">
      <c r="A56" s="9" t="s">
        <v>486</v>
      </c>
      <c r="B56" s="9" t="s">
        <v>252</v>
      </c>
      <c r="C56" s="9" t="s">
        <v>15</v>
      </c>
      <c r="D56" s="9" t="s">
        <v>159</v>
      </c>
      <c r="E56" s="9" t="s">
        <v>487</v>
      </c>
      <c r="F56" s="9" t="s">
        <v>488</v>
      </c>
      <c r="G56" s="9" t="s">
        <v>489</v>
      </c>
      <c r="H56" s="9" t="n">
        <v>5</v>
      </c>
      <c r="I56" s="9" t="s">
        <v>490</v>
      </c>
      <c r="J56" s="10"/>
      <c r="K56" s="9"/>
    </row>
    <row r="57" customFormat="false" ht="15" hidden="false" customHeight="false" outlineLevel="0" collapsed="false">
      <c r="A57" s="11" t="s">
        <v>491</v>
      </c>
      <c r="B57" s="11" t="s">
        <v>252</v>
      </c>
      <c r="C57" s="11" t="s">
        <v>15</v>
      </c>
      <c r="D57" s="11" t="s">
        <v>159</v>
      </c>
      <c r="E57" s="11" t="s">
        <v>492</v>
      </c>
      <c r="F57" s="11" t="s">
        <v>493</v>
      </c>
      <c r="G57" s="11" t="s">
        <v>494</v>
      </c>
      <c r="H57" s="11" t="n">
        <v>1</v>
      </c>
      <c r="I57" s="11" t="s">
        <v>495</v>
      </c>
      <c r="J57" s="10"/>
      <c r="K57" s="11"/>
    </row>
    <row r="58" customFormat="false" ht="15" hidden="false" customHeight="false" outlineLevel="0" collapsed="false">
      <c r="A58" s="9" t="s">
        <v>496</v>
      </c>
      <c r="B58" s="9" t="s">
        <v>252</v>
      </c>
      <c r="C58" s="9" t="s">
        <v>15</v>
      </c>
      <c r="D58" s="9" t="s">
        <v>159</v>
      </c>
      <c r="E58" s="9" t="s">
        <v>497</v>
      </c>
      <c r="F58" s="9" t="s">
        <v>498</v>
      </c>
      <c r="G58" s="9" t="s">
        <v>52</v>
      </c>
      <c r="H58" s="9" t="n">
        <v>1</v>
      </c>
      <c r="I58" s="9" t="s">
        <v>499</v>
      </c>
      <c r="J58" s="10"/>
      <c r="K58" s="9"/>
    </row>
    <row r="59" customFormat="false" ht="22.35" hidden="false" customHeight="false" outlineLevel="0" collapsed="false">
      <c r="A59" s="11" t="s">
        <v>500</v>
      </c>
      <c r="B59" s="11" t="s">
        <v>252</v>
      </c>
      <c r="C59" s="11" t="s">
        <v>15</v>
      </c>
      <c r="D59" s="11" t="s">
        <v>159</v>
      </c>
      <c r="E59" s="11" t="s">
        <v>501</v>
      </c>
      <c r="F59" s="11" t="s">
        <v>502</v>
      </c>
      <c r="G59" s="11" t="s">
        <v>503</v>
      </c>
      <c r="H59" s="11" t="n">
        <v>1</v>
      </c>
      <c r="I59" s="11" t="s">
        <v>504</v>
      </c>
      <c r="J59" s="10"/>
      <c r="K59" s="11"/>
    </row>
    <row r="60" customFormat="false" ht="22.35" hidden="false" customHeight="false" outlineLevel="0" collapsed="false">
      <c r="A60" s="9" t="s">
        <v>505</v>
      </c>
      <c r="B60" s="9" t="s">
        <v>252</v>
      </c>
      <c r="C60" s="9" t="s">
        <v>15</v>
      </c>
      <c r="D60" s="9" t="s">
        <v>159</v>
      </c>
      <c r="E60" s="9" t="s">
        <v>506</v>
      </c>
      <c r="F60" s="9" t="s">
        <v>507</v>
      </c>
      <c r="G60" s="9" t="s">
        <v>508</v>
      </c>
      <c r="H60" s="9" t="n">
        <v>1</v>
      </c>
      <c r="I60" s="9" t="s">
        <v>509</v>
      </c>
      <c r="J60" s="10"/>
      <c r="K60" s="9"/>
    </row>
    <row r="61" customFormat="false" ht="22.35" hidden="false" customHeight="false" outlineLevel="0" collapsed="false">
      <c r="A61" s="11" t="s">
        <v>510</v>
      </c>
      <c r="B61" s="11" t="s">
        <v>252</v>
      </c>
      <c r="C61" s="11" t="s">
        <v>15</v>
      </c>
      <c r="D61" s="11" t="s">
        <v>511</v>
      </c>
      <c r="E61" s="11" t="s">
        <v>512</v>
      </c>
      <c r="F61" s="11" t="s">
        <v>513</v>
      </c>
      <c r="G61" s="11" t="s">
        <v>514</v>
      </c>
      <c r="H61" s="11" t="n">
        <v>1</v>
      </c>
      <c r="I61" s="11" t="s">
        <v>515</v>
      </c>
      <c r="J61" s="10"/>
      <c r="K61" s="11"/>
    </row>
    <row r="62" customFormat="false" ht="32.8" hidden="false" customHeight="false" outlineLevel="0" collapsed="false">
      <c r="A62" s="9" t="s">
        <v>516</v>
      </c>
      <c r="B62" s="9" t="s">
        <v>252</v>
      </c>
      <c r="C62" s="9" t="s">
        <v>15</v>
      </c>
      <c r="D62" s="9" t="s">
        <v>159</v>
      </c>
      <c r="E62" s="9" t="s">
        <v>517</v>
      </c>
      <c r="F62" s="9" t="s">
        <v>518</v>
      </c>
      <c r="G62" s="9" t="s">
        <v>519</v>
      </c>
      <c r="H62" s="9" t="n">
        <v>1</v>
      </c>
      <c r="I62" s="9" t="s">
        <v>520</v>
      </c>
      <c r="J62" s="10"/>
      <c r="K62" s="9"/>
    </row>
    <row r="63" customFormat="false" ht="15" hidden="false" customHeight="false" outlineLevel="0" collapsed="false">
      <c r="A63" s="11" t="s">
        <v>521</v>
      </c>
      <c r="B63" s="11" t="s">
        <v>252</v>
      </c>
      <c r="C63" s="11" t="s">
        <v>15</v>
      </c>
      <c r="D63" s="11" t="s">
        <v>159</v>
      </c>
      <c r="E63" s="11" t="s">
        <v>522</v>
      </c>
      <c r="F63" s="11" t="s">
        <v>523</v>
      </c>
      <c r="G63" s="11" t="s">
        <v>197</v>
      </c>
      <c r="H63" s="11" t="n">
        <v>1</v>
      </c>
      <c r="I63" s="11" t="s">
        <v>524</v>
      </c>
      <c r="J63" s="10"/>
      <c r="K63" s="11"/>
    </row>
    <row r="64" customFormat="false" ht="15" hidden="false" customHeight="false" outlineLevel="0" collapsed="false">
      <c r="A64" s="9" t="s">
        <v>525</v>
      </c>
      <c r="B64" s="9" t="s">
        <v>252</v>
      </c>
      <c r="C64" s="9" t="s">
        <v>15</v>
      </c>
      <c r="D64" s="9" t="s">
        <v>159</v>
      </c>
      <c r="E64" s="9" t="s">
        <v>526</v>
      </c>
      <c r="F64" s="9" t="s">
        <v>527</v>
      </c>
      <c r="G64" s="9" t="s">
        <v>197</v>
      </c>
      <c r="H64" s="9" t="n">
        <v>3</v>
      </c>
      <c r="I64" s="9" t="s">
        <v>528</v>
      </c>
      <c r="J64" s="10"/>
      <c r="K64" s="9"/>
    </row>
    <row r="65" customFormat="false" ht="22.35" hidden="false" customHeight="false" outlineLevel="0" collapsed="false">
      <c r="A65" s="11" t="s">
        <v>529</v>
      </c>
      <c r="B65" s="11" t="s">
        <v>252</v>
      </c>
      <c r="C65" s="11" t="s">
        <v>15</v>
      </c>
      <c r="D65" s="11" t="s">
        <v>165</v>
      </c>
      <c r="E65" s="11" t="s">
        <v>530</v>
      </c>
      <c r="F65" s="11" t="s">
        <v>531</v>
      </c>
      <c r="G65" s="11" t="s">
        <v>532</v>
      </c>
      <c r="H65" s="11" t="n">
        <v>1</v>
      </c>
      <c r="I65" s="11" t="s">
        <v>533</v>
      </c>
      <c r="J65" s="10"/>
      <c r="K65" s="11"/>
    </row>
    <row r="66" customFormat="false" ht="22.35" hidden="false" customHeight="false" outlineLevel="0" collapsed="false">
      <c r="A66" s="9" t="s">
        <v>534</v>
      </c>
      <c r="B66" s="9" t="s">
        <v>252</v>
      </c>
      <c r="C66" s="9" t="s">
        <v>15</v>
      </c>
      <c r="D66" s="9" t="s">
        <v>165</v>
      </c>
      <c r="E66" s="9" t="s">
        <v>535</v>
      </c>
      <c r="F66" s="9" t="s">
        <v>536</v>
      </c>
      <c r="G66" s="9" t="s">
        <v>537</v>
      </c>
      <c r="H66" s="9" t="n">
        <v>1</v>
      </c>
      <c r="I66" s="9" t="s">
        <v>538</v>
      </c>
      <c r="J66" s="10"/>
      <c r="K66" s="9"/>
    </row>
    <row r="67" customFormat="false" ht="15" hidden="false" customHeight="false" outlineLevel="0" collapsed="false">
      <c r="A67" s="11" t="s">
        <v>539</v>
      </c>
      <c r="B67" s="11" t="s">
        <v>252</v>
      </c>
      <c r="C67" s="11" t="s">
        <v>15</v>
      </c>
      <c r="D67" s="11" t="s">
        <v>165</v>
      </c>
      <c r="E67" s="11" t="s">
        <v>540</v>
      </c>
      <c r="F67" s="11" t="s">
        <v>541</v>
      </c>
      <c r="G67" s="11" t="s">
        <v>542</v>
      </c>
      <c r="H67" s="11" t="n">
        <v>1</v>
      </c>
      <c r="I67" s="11" t="s">
        <v>543</v>
      </c>
      <c r="J67" s="10"/>
      <c r="K67" s="11"/>
    </row>
    <row r="68" customFormat="false" ht="15" hidden="false" customHeight="false" outlineLevel="0" collapsed="false">
      <c r="A68" s="9" t="s">
        <v>544</v>
      </c>
      <c r="B68" s="9" t="s">
        <v>252</v>
      </c>
      <c r="C68" s="9" t="s">
        <v>15</v>
      </c>
      <c r="D68" s="9" t="s">
        <v>165</v>
      </c>
      <c r="E68" s="9" t="s">
        <v>469</v>
      </c>
      <c r="F68" s="9" t="s">
        <v>545</v>
      </c>
      <c r="G68" s="9" t="s">
        <v>365</v>
      </c>
      <c r="H68" s="9" t="n">
        <v>5</v>
      </c>
      <c r="I68" s="9" t="s">
        <v>546</v>
      </c>
      <c r="J68" s="10"/>
      <c r="K68" s="9"/>
    </row>
    <row r="69" customFormat="false" ht="22.35" hidden="false" customHeight="false" outlineLevel="0" collapsed="false">
      <c r="A69" s="11" t="s">
        <v>547</v>
      </c>
      <c r="B69" s="11" t="s">
        <v>252</v>
      </c>
      <c r="C69" s="11" t="s">
        <v>14</v>
      </c>
      <c r="D69" s="11" t="s">
        <v>110</v>
      </c>
      <c r="E69" s="11" t="s">
        <v>548</v>
      </c>
      <c r="F69" s="11" t="s">
        <v>549</v>
      </c>
      <c r="G69" s="11" t="s">
        <v>365</v>
      </c>
      <c r="H69" s="11" t="n">
        <v>8</v>
      </c>
      <c r="I69" s="11" t="s">
        <v>550</v>
      </c>
      <c r="J69" s="10"/>
      <c r="K69" s="11"/>
    </row>
    <row r="70" customFormat="false" ht="15" hidden="false" customHeight="false" outlineLevel="0" collapsed="false">
      <c r="A70" s="9" t="s">
        <v>551</v>
      </c>
      <c r="B70" s="9" t="s">
        <v>252</v>
      </c>
      <c r="C70" s="9" t="s">
        <v>14</v>
      </c>
      <c r="D70" s="9" t="s">
        <v>110</v>
      </c>
      <c r="E70" s="9" t="s">
        <v>552</v>
      </c>
      <c r="F70" s="9" t="s">
        <v>553</v>
      </c>
      <c r="G70" s="9" t="s">
        <v>554</v>
      </c>
      <c r="H70" s="9" t="n">
        <v>2</v>
      </c>
      <c r="I70" s="9" t="s">
        <v>555</v>
      </c>
      <c r="J70" s="10"/>
      <c r="K70" s="9"/>
    </row>
    <row r="71" customFormat="false" ht="22.35" hidden="false" customHeight="false" outlineLevel="0" collapsed="false">
      <c r="A71" s="11" t="s">
        <v>556</v>
      </c>
      <c r="B71" s="11" t="s">
        <v>252</v>
      </c>
      <c r="C71" s="11" t="s">
        <v>14</v>
      </c>
      <c r="D71" s="11" t="s">
        <v>110</v>
      </c>
      <c r="E71" s="11" t="s">
        <v>111</v>
      </c>
      <c r="F71" s="11" t="s">
        <v>557</v>
      </c>
      <c r="G71" s="11" t="s">
        <v>52</v>
      </c>
      <c r="H71" s="11" t="n">
        <v>1</v>
      </c>
      <c r="I71" s="11" t="s">
        <v>558</v>
      </c>
      <c r="J71" s="10"/>
      <c r="K71" s="11"/>
    </row>
    <row r="72" customFormat="false" ht="15" hidden="false" customHeight="false" outlineLevel="0" collapsed="false">
      <c r="A72" s="9" t="s">
        <v>559</v>
      </c>
      <c r="B72" s="9" t="s">
        <v>252</v>
      </c>
      <c r="C72" s="9" t="s">
        <v>14</v>
      </c>
      <c r="D72" s="9" t="s">
        <v>110</v>
      </c>
      <c r="E72" s="9" t="s">
        <v>560</v>
      </c>
      <c r="F72" s="9" t="s">
        <v>561</v>
      </c>
      <c r="G72" s="9" t="s">
        <v>562</v>
      </c>
      <c r="H72" s="9" t="n">
        <v>6</v>
      </c>
      <c r="I72" s="9" t="s">
        <v>563</v>
      </c>
      <c r="J72" s="10"/>
      <c r="K72" s="9"/>
    </row>
    <row r="73" customFormat="false" ht="15" hidden="false" customHeight="false" outlineLevel="0" collapsed="false">
      <c r="A73" s="11" t="s">
        <v>564</v>
      </c>
      <c r="B73" s="11" t="s">
        <v>252</v>
      </c>
      <c r="C73" s="11" t="s">
        <v>14</v>
      </c>
      <c r="D73" s="11" t="s">
        <v>110</v>
      </c>
      <c r="E73" s="11" t="s">
        <v>552</v>
      </c>
      <c r="F73" s="11" t="s">
        <v>565</v>
      </c>
      <c r="G73" s="11" t="s">
        <v>365</v>
      </c>
      <c r="H73" s="11" t="n">
        <v>4</v>
      </c>
      <c r="I73" s="11" t="s">
        <v>566</v>
      </c>
      <c r="J73" s="10"/>
      <c r="K73" s="11"/>
    </row>
    <row r="74" customFormat="false" ht="15" hidden="false" customHeight="false" outlineLevel="0" collapsed="false">
      <c r="A74" s="9" t="s">
        <v>567</v>
      </c>
      <c r="B74" s="9" t="s">
        <v>252</v>
      </c>
      <c r="C74" s="9" t="s">
        <v>14</v>
      </c>
      <c r="D74" s="9" t="s">
        <v>110</v>
      </c>
      <c r="E74" s="9" t="s">
        <v>568</v>
      </c>
      <c r="F74" s="9" t="s">
        <v>569</v>
      </c>
      <c r="G74" s="9" t="s">
        <v>570</v>
      </c>
      <c r="H74" s="9" t="n">
        <v>1</v>
      </c>
      <c r="I74" s="9" t="s">
        <v>571</v>
      </c>
      <c r="J74" s="10"/>
      <c r="K74" s="9"/>
    </row>
    <row r="75" customFormat="false" ht="15" hidden="false" customHeight="false" outlineLevel="0" collapsed="false">
      <c r="A75" s="11" t="s">
        <v>572</v>
      </c>
      <c r="B75" s="11" t="s">
        <v>252</v>
      </c>
      <c r="C75" s="11" t="s">
        <v>14</v>
      </c>
      <c r="D75" s="11" t="s">
        <v>573</v>
      </c>
      <c r="E75" s="11" t="s">
        <v>574</v>
      </c>
      <c r="F75" s="11" t="s">
        <v>575</v>
      </c>
      <c r="G75" s="11" t="s">
        <v>576</v>
      </c>
      <c r="H75" s="11" t="n">
        <v>1</v>
      </c>
      <c r="I75" s="11" t="s">
        <v>577</v>
      </c>
      <c r="J75" s="10"/>
      <c r="K75" s="11"/>
    </row>
    <row r="76" customFormat="false" ht="15" hidden="false" customHeight="false" outlineLevel="0" collapsed="false">
      <c r="A76" s="9" t="s">
        <v>578</v>
      </c>
      <c r="B76" s="9" t="s">
        <v>252</v>
      </c>
      <c r="C76" s="9" t="s">
        <v>14</v>
      </c>
      <c r="D76" s="9" t="s">
        <v>131</v>
      </c>
      <c r="E76" s="9" t="s">
        <v>132</v>
      </c>
      <c r="F76" s="9" t="s">
        <v>579</v>
      </c>
      <c r="G76" s="9" t="s">
        <v>365</v>
      </c>
      <c r="H76" s="9" t="n">
        <v>3</v>
      </c>
      <c r="I76" s="9" t="s">
        <v>580</v>
      </c>
      <c r="J76" s="10"/>
      <c r="K76" s="9"/>
    </row>
    <row r="77" customFormat="false" ht="15" hidden="false" customHeight="false" outlineLevel="0" collapsed="false">
      <c r="A77" s="11" t="s">
        <v>581</v>
      </c>
      <c r="B77" s="11" t="s">
        <v>252</v>
      </c>
      <c r="C77" s="11" t="s">
        <v>14</v>
      </c>
      <c r="D77" s="11" t="s">
        <v>131</v>
      </c>
      <c r="E77" s="11" t="s">
        <v>132</v>
      </c>
      <c r="F77" s="11" t="s">
        <v>582</v>
      </c>
      <c r="G77" s="11" t="s">
        <v>583</v>
      </c>
      <c r="H77" s="11" t="n">
        <v>1</v>
      </c>
      <c r="I77" s="11" t="s">
        <v>584</v>
      </c>
      <c r="J77" s="10"/>
      <c r="K77" s="11"/>
    </row>
    <row r="78" customFormat="false" ht="22.35" hidden="false" customHeight="false" outlineLevel="0" collapsed="false">
      <c r="A78" s="9" t="s">
        <v>585</v>
      </c>
      <c r="B78" s="9" t="s">
        <v>252</v>
      </c>
      <c r="C78" s="9" t="s">
        <v>14</v>
      </c>
      <c r="D78" s="9" t="s">
        <v>131</v>
      </c>
      <c r="E78" s="9" t="s">
        <v>132</v>
      </c>
      <c r="F78" s="9" t="s">
        <v>586</v>
      </c>
      <c r="G78" s="9" t="s">
        <v>587</v>
      </c>
      <c r="H78" s="9" t="n">
        <v>1</v>
      </c>
      <c r="I78" s="9" t="s">
        <v>588</v>
      </c>
      <c r="J78" s="10"/>
      <c r="K78" s="9"/>
    </row>
    <row r="79" customFormat="false" ht="32.8" hidden="false" customHeight="false" outlineLevel="0" collapsed="false">
      <c r="A79" s="11" t="s">
        <v>589</v>
      </c>
      <c r="B79" s="11" t="s">
        <v>252</v>
      </c>
      <c r="C79" s="11" t="s">
        <v>14</v>
      </c>
      <c r="D79" s="11" t="s">
        <v>131</v>
      </c>
      <c r="E79" s="11" t="s">
        <v>590</v>
      </c>
      <c r="F79" s="11" t="s">
        <v>591</v>
      </c>
      <c r="G79" s="11" t="s">
        <v>293</v>
      </c>
      <c r="H79" s="11" t="n">
        <v>1</v>
      </c>
      <c r="I79" s="11" t="s">
        <v>592</v>
      </c>
      <c r="J79" s="10"/>
      <c r="K79" s="11"/>
    </row>
    <row r="80" customFormat="false" ht="15" hidden="false" customHeight="false" outlineLevel="0" collapsed="false">
      <c r="A80" s="9" t="s">
        <v>593</v>
      </c>
      <c r="B80" s="9" t="s">
        <v>252</v>
      </c>
      <c r="C80" s="9" t="s">
        <v>14</v>
      </c>
      <c r="D80" s="9" t="s">
        <v>131</v>
      </c>
      <c r="E80" s="9" t="s">
        <v>594</v>
      </c>
      <c r="F80" s="9" t="s">
        <v>595</v>
      </c>
      <c r="G80" s="9" t="s">
        <v>596</v>
      </c>
      <c r="H80" s="9" t="n">
        <v>1</v>
      </c>
      <c r="I80" s="9" t="s">
        <v>597</v>
      </c>
      <c r="J80" s="10"/>
      <c r="K80" s="9"/>
    </row>
    <row r="81" customFormat="false" ht="22.35" hidden="false" customHeight="false" outlineLevel="0" collapsed="false">
      <c r="A81" s="11" t="s">
        <v>598</v>
      </c>
      <c r="B81" s="11" t="s">
        <v>252</v>
      </c>
      <c r="C81" s="11" t="s">
        <v>14</v>
      </c>
      <c r="D81" s="11" t="s">
        <v>119</v>
      </c>
      <c r="E81" s="11" t="s">
        <v>599</v>
      </c>
      <c r="F81" s="11" t="s">
        <v>600</v>
      </c>
      <c r="G81" s="11" t="s">
        <v>601</v>
      </c>
      <c r="H81" s="11" t="n">
        <v>1</v>
      </c>
      <c r="I81" s="11" t="s">
        <v>602</v>
      </c>
      <c r="J81" s="10"/>
      <c r="K81" s="11"/>
    </row>
    <row r="82" customFormat="false" ht="15" hidden="false" customHeight="false" outlineLevel="0" collapsed="false">
      <c r="A82" s="9" t="s">
        <v>603</v>
      </c>
      <c r="B82" s="9" t="s">
        <v>252</v>
      </c>
      <c r="C82" s="9" t="s">
        <v>14</v>
      </c>
      <c r="D82" s="9" t="s">
        <v>119</v>
      </c>
      <c r="E82" s="9" t="s">
        <v>604</v>
      </c>
      <c r="F82" s="9" t="s">
        <v>605</v>
      </c>
      <c r="G82" s="9" t="s">
        <v>606</v>
      </c>
      <c r="H82" s="9" t="n">
        <v>1</v>
      </c>
      <c r="I82" s="9" t="s">
        <v>607</v>
      </c>
      <c r="J82" s="10"/>
      <c r="K82" s="9"/>
    </row>
    <row r="83" customFormat="false" ht="15" hidden="false" customHeight="false" outlineLevel="0" collapsed="false">
      <c r="A83" s="11" t="s">
        <v>608</v>
      </c>
      <c r="B83" s="11" t="s">
        <v>252</v>
      </c>
      <c r="C83" s="11" t="s">
        <v>14</v>
      </c>
      <c r="D83" s="11" t="s">
        <v>119</v>
      </c>
      <c r="E83" s="11" t="s">
        <v>609</v>
      </c>
      <c r="F83" s="11" t="s">
        <v>610</v>
      </c>
      <c r="G83" s="11" t="s">
        <v>365</v>
      </c>
      <c r="H83" s="11" t="n">
        <v>3</v>
      </c>
      <c r="I83" s="11" t="s">
        <v>611</v>
      </c>
      <c r="J83" s="10"/>
      <c r="K83" s="11"/>
    </row>
    <row r="84" customFormat="false" ht="22.35" hidden="false" customHeight="false" outlineLevel="0" collapsed="false">
      <c r="A84" s="9" t="s">
        <v>612</v>
      </c>
      <c r="B84" s="9" t="s">
        <v>252</v>
      </c>
      <c r="C84" s="9" t="s">
        <v>14</v>
      </c>
      <c r="D84" s="9" t="s">
        <v>119</v>
      </c>
      <c r="E84" s="9" t="s">
        <v>613</v>
      </c>
      <c r="F84" s="9" t="s">
        <v>614</v>
      </c>
      <c r="G84" s="9" t="s">
        <v>615</v>
      </c>
      <c r="H84" s="9" t="n">
        <v>1</v>
      </c>
      <c r="I84" s="9" t="s">
        <v>616</v>
      </c>
      <c r="J84" s="10"/>
      <c r="K84" s="9"/>
    </row>
    <row r="85" customFormat="false" ht="15" hidden="false" customHeight="false" outlineLevel="0" collapsed="false">
      <c r="A85" s="11" t="s">
        <v>617</v>
      </c>
      <c r="B85" s="11" t="s">
        <v>252</v>
      </c>
      <c r="C85" s="11" t="s">
        <v>14</v>
      </c>
      <c r="D85" s="11" t="s">
        <v>119</v>
      </c>
      <c r="E85" s="11" t="s">
        <v>120</v>
      </c>
      <c r="F85" s="11" t="s">
        <v>618</v>
      </c>
      <c r="G85" s="11" t="s">
        <v>365</v>
      </c>
      <c r="H85" s="11" t="n">
        <v>2</v>
      </c>
      <c r="I85" s="11" t="s">
        <v>619</v>
      </c>
      <c r="J85" s="10"/>
      <c r="K85" s="11"/>
    </row>
    <row r="86" customFormat="false" ht="15" hidden="false" customHeight="false" outlineLevel="0" collapsed="false">
      <c r="A86" s="9" t="s">
        <v>620</v>
      </c>
      <c r="B86" s="9" t="s">
        <v>252</v>
      </c>
      <c r="C86" s="9" t="s">
        <v>17</v>
      </c>
      <c r="D86" s="9" t="s">
        <v>212</v>
      </c>
      <c r="E86" s="9" t="s">
        <v>621</v>
      </c>
      <c r="F86" s="9" t="s">
        <v>622</v>
      </c>
      <c r="G86" s="9" t="s">
        <v>623</v>
      </c>
      <c r="H86" s="9" t="n">
        <v>1</v>
      </c>
      <c r="I86" s="9" t="s">
        <v>624</v>
      </c>
      <c r="J86" s="10"/>
      <c r="K86" s="9"/>
    </row>
    <row r="87" customFormat="false" ht="22.35" hidden="false" customHeight="false" outlineLevel="0" collapsed="false">
      <c r="A87" s="11" t="s">
        <v>625</v>
      </c>
      <c r="B87" s="11" t="s">
        <v>252</v>
      </c>
      <c r="C87" s="11" t="s">
        <v>17</v>
      </c>
      <c r="D87" s="11" t="s">
        <v>212</v>
      </c>
      <c r="E87" s="11" t="s">
        <v>626</v>
      </c>
      <c r="F87" s="11" t="s">
        <v>627</v>
      </c>
      <c r="G87" s="11" t="s">
        <v>628</v>
      </c>
      <c r="H87" s="11" t="n">
        <v>1</v>
      </c>
      <c r="I87" s="11" t="s">
        <v>629</v>
      </c>
      <c r="J87" s="10"/>
      <c r="K87" s="11"/>
    </row>
    <row r="88" customFormat="false" ht="15" hidden="false" customHeight="false" outlineLevel="0" collapsed="false">
      <c r="A88" s="9" t="s">
        <v>630</v>
      </c>
      <c r="B88" s="9" t="s">
        <v>252</v>
      </c>
      <c r="C88" s="9" t="s">
        <v>17</v>
      </c>
      <c r="D88" s="9" t="s">
        <v>217</v>
      </c>
      <c r="E88" s="9" t="s">
        <v>631</v>
      </c>
      <c r="F88" s="9" t="s">
        <v>632</v>
      </c>
      <c r="G88" s="9" t="s">
        <v>576</v>
      </c>
      <c r="H88" s="9" t="n">
        <v>1</v>
      </c>
      <c r="I88" s="9" t="s">
        <v>633</v>
      </c>
      <c r="J88" s="10"/>
      <c r="K88" s="9"/>
    </row>
    <row r="89" customFormat="false" ht="22.35" hidden="false" customHeight="false" outlineLevel="0" collapsed="false">
      <c r="A89" s="11" t="s">
        <v>634</v>
      </c>
      <c r="B89" s="11" t="s">
        <v>252</v>
      </c>
      <c r="C89" s="11" t="s">
        <v>17</v>
      </c>
      <c r="D89" s="11" t="s">
        <v>217</v>
      </c>
      <c r="E89" s="11" t="s">
        <v>218</v>
      </c>
      <c r="F89" s="11" t="s">
        <v>635</v>
      </c>
      <c r="G89" s="11" t="s">
        <v>636</v>
      </c>
      <c r="H89" s="11" t="n">
        <v>1</v>
      </c>
      <c r="I89" s="11" t="s">
        <v>637</v>
      </c>
      <c r="J89" s="10"/>
      <c r="K89" s="11"/>
    </row>
    <row r="90" customFormat="false" ht="22.35" hidden="false" customHeight="false" outlineLevel="0" collapsed="false">
      <c r="A90" s="9" t="s">
        <v>638</v>
      </c>
      <c r="B90" s="9" t="s">
        <v>252</v>
      </c>
      <c r="C90" s="9" t="s">
        <v>17</v>
      </c>
      <c r="D90" s="9" t="s">
        <v>223</v>
      </c>
      <c r="E90" s="9" t="s">
        <v>639</v>
      </c>
      <c r="F90" s="9" t="s">
        <v>640</v>
      </c>
      <c r="G90" s="9" t="s">
        <v>641</v>
      </c>
      <c r="H90" s="9" t="n">
        <v>7</v>
      </c>
      <c r="I90" s="9" t="s">
        <v>642</v>
      </c>
      <c r="J90" s="10"/>
      <c r="K90" s="9"/>
    </row>
    <row r="91" customFormat="false" ht="22.35" hidden="false" customHeight="false" outlineLevel="0" collapsed="false">
      <c r="A91" s="11" t="s">
        <v>643</v>
      </c>
      <c r="B91" s="11" t="s">
        <v>252</v>
      </c>
      <c r="C91" s="11" t="s">
        <v>17</v>
      </c>
      <c r="D91" s="11" t="s">
        <v>223</v>
      </c>
      <c r="E91" s="11" t="s">
        <v>224</v>
      </c>
      <c r="F91" s="11" t="s">
        <v>644</v>
      </c>
      <c r="G91" s="11" t="s">
        <v>645</v>
      </c>
      <c r="H91" s="11" t="n">
        <v>1</v>
      </c>
      <c r="I91" s="11" t="s">
        <v>646</v>
      </c>
      <c r="J91" s="10"/>
      <c r="K91" s="11"/>
    </row>
    <row r="92" customFormat="false" ht="15" hidden="false" customHeight="false" outlineLevel="0" collapsed="false">
      <c r="A92" s="9" t="s">
        <v>647</v>
      </c>
      <c r="B92" s="9" t="s">
        <v>252</v>
      </c>
      <c r="C92" s="9" t="s">
        <v>17</v>
      </c>
      <c r="D92" s="9" t="s">
        <v>223</v>
      </c>
      <c r="E92" s="9" t="s">
        <v>648</v>
      </c>
      <c r="F92" s="9" t="s">
        <v>649</v>
      </c>
      <c r="G92" s="9" t="s">
        <v>650</v>
      </c>
      <c r="H92" s="9" t="n">
        <v>1</v>
      </c>
      <c r="I92" s="9" t="s">
        <v>651</v>
      </c>
      <c r="J92" s="10"/>
      <c r="K92" s="9"/>
    </row>
    <row r="93" customFormat="false" ht="15" hidden="false" customHeight="false" outlineLevel="0" collapsed="false">
      <c r="A93" s="11" t="s">
        <v>652</v>
      </c>
      <c r="B93" s="11" t="s">
        <v>252</v>
      </c>
      <c r="C93" s="11" t="s">
        <v>17</v>
      </c>
      <c r="D93" s="11" t="s">
        <v>223</v>
      </c>
      <c r="E93" s="11" t="s">
        <v>653</v>
      </c>
      <c r="F93" s="11" t="s">
        <v>654</v>
      </c>
      <c r="G93" s="11" t="s">
        <v>655</v>
      </c>
      <c r="H93" s="11" t="n">
        <v>1</v>
      </c>
      <c r="I93" s="11" t="s">
        <v>656</v>
      </c>
      <c r="J93" s="10"/>
      <c r="K93" s="11"/>
    </row>
    <row r="94" customFormat="false" ht="15" hidden="false" customHeight="false" outlineLevel="0" collapsed="false">
      <c r="A94" s="9" t="s">
        <v>657</v>
      </c>
      <c r="B94" s="9" t="s">
        <v>252</v>
      </c>
      <c r="C94" s="9" t="s">
        <v>17</v>
      </c>
      <c r="D94" s="9" t="s">
        <v>658</v>
      </c>
      <c r="E94" s="9" t="s">
        <v>659</v>
      </c>
      <c r="F94" s="9" t="s">
        <v>660</v>
      </c>
      <c r="G94" s="9" t="s">
        <v>197</v>
      </c>
      <c r="H94" s="9" t="n">
        <v>1</v>
      </c>
      <c r="I94" s="9" t="s">
        <v>661</v>
      </c>
      <c r="J94" s="10"/>
      <c r="K94" s="9"/>
    </row>
    <row r="95" customFormat="false" ht="22.35" hidden="false" customHeight="false" outlineLevel="0" collapsed="false">
      <c r="A95" s="11" t="s">
        <v>662</v>
      </c>
      <c r="B95" s="11" t="s">
        <v>252</v>
      </c>
      <c r="C95" s="11" t="s">
        <v>17</v>
      </c>
      <c r="D95" s="11" t="s">
        <v>658</v>
      </c>
      <c r="E95" s="11" t="s">
        <v>663</v>
      </c>
      <c r="F95" s="11" t="s">
        <v>664</v>
      </c>
      <c r="G95" s="11" t="s">
        <v>365</v>
      </c>
      <c r="H95" s="11" t="n">
        <v>5</v>
      </c>
      <c r="I95" s="11" t="s">
        <v>665</v>
      </c>
      <c r="J95" s="10"/>
      <c r="K95" s="11"/>
    </row>
    <row r="96" customFormat="false" ht="15" hidden="false" customHeight="false" outlineLevel="0" collapsed="false">
      <c r="A96" s="9" t="s">
        <v>666</v>
      </c>
      <c r="B96" s="9" t="s">
        <v>252</v>
      </c>
      <c r="C96" s="9" t="s">
        <v>17</v>
      </c>
      <c r="D96" s="9" t="s">
        <v>658</v>
      </c>
      <c r="E96" s="9" t="s">
        <v>230</v>
      </c>
      <c r="F96" s="9" t="s">
        <v>667</v>
      </c>
      <c r="G96" s="9" t="s">
        <v>668</v>
      </c>
      <c r="H96" s="9" t="n">
        <v>1</v>
      </c>
      <c r="I96" s="9" t="s">
        <v>669</v>
      </c>
      <c r="J96" s="10"/>
      <c r="K96" s="9"/>
    </row>
    <row r="97" customFormat="false" ht="22.35" hidden="false" customHeight="false" outlineLevel="0" collapsed="false">
      <c r="A97" s="11" t="s">
        <v>670</v>
      </c>
      <c r="B97" s="11" t="s">
        <v>252</v>
      </c>
      <c r="C97" s="11" t="s">
        <v>17</v>
      </c>
      <c r="D97" s="11" t="s">
        <v>658</v>
      </c>
      <c r="E97" s="11" t="s">
        <v>671</v>
      </c>
      <c r="F97" s="11" t="s">
        <v>672</v>
      </c>
      <c r="G97" s="11" t="s">
        <v>673</v>
      </c>
      <c r="H97" s="11" t="n">
        <v>1</v>
      </c>
      <c r="I97" s="11" t="s">
        <v>674</v>
      </c>
      <c r="J97" s="10"/>
      <c r="K97" s="11"/>
    </row>
    <row r="98" customFormat="false" ht="15" hidden="false" customHeight="false" outlineLevel="0" collapsed="false">
      <c r="A98" s="9" t="s">
        <v>675</v>
      </c>
      <c r="B98" s="9" t="s">
        <v>252</v>
      </c>
      <c r="C98" s="9" t="s">
        <v>17</v>
      </c>
      <c r="D98" s="9" t="s">
        <v>658</v>
      </c>
      <c r="E98" s="9" t="s">
        <v>230</v>
      </c>
      <c r="F98" s="9" t="s">
        <v>676</v>
      </c>
      <c r="G98" s="9" t="s">
        <v>576</v>
      </c>
      <c r="H98" s="9" t="n">
        <v>1</v>
      </c>
      <c r="I98" s="9" t="s">
        <v>677</v>
      </c>
      <c r="J98" s="10"/>
      <c r="K98" s="9"/>
    </row>
    <row r="99" customFormat="false" ht="15" hidden="false" customHeight="false" outlineLevel="0" collapsed="false">
      <c r="A99" s="11" t="s">
        <v>678</v>
      </c>
      <c r="B99" s="11" t="s">
        <v>252</v>
      </c>
      <c r="C99" s="11" t="s">
        <v>17</v>
      </c>
      <c r="D99" s="11" t="s">
        <v>658</v>
      </c>
      <c r="E99" s="11" t="s">
        <v>653</v>
      </c>
      <c r="F99" s="11" t="s">
        <v>679</v>
      </c>
      <c r="G99" s="11" t="s">
        <v>680</v>
      </c>
      <c r="H99" s="11" t="n">
        <v>1</v>
      </c>
      <c r="I99" s="11" t="s">
        <v>681</v>
      </c>
      <c r="J99" s="10"/>
      <c r="K99" s="11"/>
    </row>
    <row r="100" customFormat="false" ht="22.35" hidden="false" customHeight="false" outlineLevel="0" collapsed="false">
      <c r="A100" s="9" t="s">
        <v>682</v>
      </c>
      <c r="B100" s="9" t="s">
        <v>252</v>
      </c>
      <c r="C100" s="9" t="s">
        <v>17</v>
      </c>
      <c r="D100" s="9" t="s">
        <v>235</v>
      </c>
      <c r="E100" s="9" t="s">
        <v>683</v>
      </c>
      <c r="F100" s="9" t="s">
        <v>684</v>
      </c>
      <c r="G100" s="9" t="s">
        <v>685</v>
      </c>
      <c r="H100" s="9" t="n">
        <v>1</v>
      </c>
      <c r="I100" s="9" t="s">
        <v>686</v>
      </c>
      <c r="J100" s="10"/>
      <c r="K100" s="9"/>
    </row>
    <row r="101" customFormat="false" ht="15" hidden="false" customHeight="false" outlineLevel="0" collapsed="false">
      <c r="A101" s="11" t="s">
        <v>687</v>
      </c>
      <c r="B101" s="11" t="s">
        <v>252</v>
      </c>
      <c r="C101" s="11" t="s">
        <v>17</v>
      </c>
      <c r="D101" s="11" t="s">
        <v>235</v>
      </c>
      <c r="E101" s="11" t="s">
        <v>648</v>
      </c>
      <c r="F101" s="11" t="s">
        <v>688</v>
      </c>
      <c r="G101" s="11" t="s">
        <v>689</v>
      </c>
      <c r="H101" s="11" t="n">
        <v>1</v>
      </c>
      <c r="I101" s="11" t="s">
        <v>690</v>
      </c>
      <c r="J101" s="10"/>
      <c r="K101" s="11"/>
    </row>
    <row r="102" customFormat="false" ht="15" hidden="false" customHeight="false" outlineLevel="0" collapsed="false">
      <c r="A102" s="9" t="s">
        <v>691</v>
      </c>
      <c r="B102" s="9" t="s">
        <v>252</v>
      </c>
      <c r="C102" s="9" t="s">
        <v>17</v>
      </c>
      <c r="D102" s="9" t="s">
        <v>235</v>
      </c>
      <c r="E102" s="9" t="s">
        <v>653</v>
      </c>
      <c r="F102" s="9" t="s">
        <v>692</v>
      </c>
      <c r="G102" s="9" t="s">
        <v>693</v>
      </c>
      <c r="H102" s="9" t="n">
        <v>1</v>
      </c>
      <c r="I102" s="9" t="s">
        <v>694</v>
      </c>
      <c r="J102" s="10"/>
      <c r="K102" s="9"/>
    </row>
    <row r="103" customFormat="false" ht="15" hidden="false" customHeight="false" outlineLevel="0" collapsed="false">
      <c r="A103" s="11" t="s">
        <v>695</v>
      </c>
      <c r="B103" s="11" t="s">
        <v>252</v>
      </c>
      <c r="C103" s="11" t="s">
        <v>17</v>
      </c>
      <c r="D103" s="11" t="s">
        <v>658</v>
      </c>
      <c r="E103" s="11" t="s">
        <v>659</v>
      </c>
      <c r="F103" s="11" t="s">
        <v>696</v>
      </c>
      <c r="G103" s="11" t="s">
        <v>197</v>
      </c>
      <c r="H103" s="11" t="n">
        <v>1</v>
      </c>
      <c r="I103" s="11" t="s">
        <v>697</v>
      </c>
      <c r="J103" s="10"/>
      <c r="K103" s="11"/>
    </row>
    <row r="104" customFormat="false" ht="15" hidden="false" customHeight="false" outlineLevel="0" collapsed="false">
      <c r="A104" s="9" t="s">
        <v>698</v>
      </c>
      <c r="B104" s="9" t="s">
        <v>252</v>
      </c>
      <c r="C104" s="9" t="s">
        <v>17</v>
      </c>
      <c r="D104" s="9" t="s">
        <v>699</v>
      </c>
      <c r="E104" s="9" t="s">
        <v>700</v>
      </c>
      <c r="F104" s="9" t="s">
        <v>701</v>
      </c>
      <c r="G104" s="9" t="s">
        <v>702</v>
      </c>
      <c r="H104" s="9" t="n">
        <v>1</v>
      </c>
      <c r="I104" s="9" t="s">
        <v>703</v>
      </c>
      <c r="J104" s="10"/>
      <c r="K104" s="9"/>
    </row>
    <row r="105" customFormat="false" ht="22.35" hidden="false" customHeight="false" outlineLevel="0" collapsed="false">
      <c r="A105" s="11" t="s">
        <v>704</v>
      </c>
      <c r="B105" s="11" t="s">
        <v>252</v>
      </c>
      <c r="C105" s="11" t="s">
        <v>19</v>
      </c>
      <c r="D105" s="11" t="s">
        <v>705</v>
      </c>
      <c r="E105" s="11" t="s">
        <v>706</v>
      </c>
      <c r="F105" s="11" t="s">
        <v>707</v>
      </c>
      <c r="G105" s="11" t="s">
        <v>708</v>
      </c>
      <c r="H105" s="11" t="n">
        <v>1</v>
      </c>
      <c r="I105" s="11" t="s">
        <v>709</v>
      </c>
      <c r="J105" s="10"/>
      <c r="K105" s="11"/>
    </row>
    <row r="106" customFormat="false" ht="22.35" hidden="false" customHeight="false" outlineLevel="0" collapsed="false">
      <c r="A106" s="9" t="s">
        <v>710</v>
      </c>
      <c r="B106" s="9" t="s">
        <v>252</v>
      </c>
      <c r="C106" s="9" t="s">
        <v>19</v>
      </c>
      <c r="D106" s="9" t="s">
        <v>711</v>
      </c>
      <c r="E106" s="9" t="s">
        <v>712</v>
      </c>
      <c r="F106" s="9" t="s">
        <v>713</v>
      </c>
      <c r="G106" s="9" t="s">
        <v>714</v>
      </c>
      <c r="H106" s="9" t="n">
        <v>1</v>
      </c>
      <c r="I106" s="9" t="s">
        <v>715</v>
      </c>
      <c r="J106" s="10"/>
      <c r="K106" s="9"/>
    </row>
    <row r="107" customFormat="false" ht="32.8" hidden="false" customHeight="false" outlineLevel="0" collapsed="false">
      <c r="A107" s="11" t="s">
        <v>716</v>
      </c>
      <c r="B107" s="11" t="s">
        <v>252</v>
      </c>
      <c r="C107" s="11" t="s">
        <v>19</v>
      </c>
      <c r="D107" s="11" t="s">
        <v>717</v>
      </c>
      <c r="E107" s="11" t="s">
        <v>718</v>
      </c>
      <c r="F107" s="11" t="s">
        <v>719</v>
      </c>
      <c r="G107" s="11" t="s">
        <v>720</v>
      </c>
      <c r="H107" s="11" t="n">
        <v>1</v>
      </c>
      <c r="I107" s="11" t="s">
        <v>721</v>
      </c>
      <c r="J107" s="10"/>
      <c r="K107" s="11"/>
    </row>
    <row r="108" customFormat="false" ht="15" hidden="false" customHeight="false" outlineLevel="0" collapsed="false">
      <c r="A108" s="9" t="s">
        <v>722</v>
      </c>
      <c r="B108" s="9" t="s">
        <v>252</v>
      </c>
      <c r="C108" s="9" t="s">
        <v>19</v>
      </c>
      <c r="D108" s="9" t="s">
        <v>723</v>
      </c>
      <c r="E108" s="9" t="s">
        <v>724</v>
      </c>
      <c r="F108" s="9" t="s">
        <v>725</v>
      </c>
      <c r="G108" s="9" t="s">
        <v>726</v>
      </c>
      <c r="H108" s="9" t="n">
        <v>1</v>
      </c>
      <c r="I108" s="9" t="s">
        <v>727</v>
      </c>
      <c r="J108" s="10"/>
      <c r="K108" s="9"/>
    </row>
    <row r="109" customFormat="false" ht="15" hidden="false" customHeight="false" outlineLevel="0" collapsed="false">
      <c r="A109" s="11" t="s">
        <v>728</v>
      </c>
      <c r="B109" s="11" t="s">
        <v>252</v>
      </c>
      <c r="C109" s="11" t="s">
        <v>19</v>
      </c>
      <c r="D109" s="11" t="s">
        <v>729</v>
      </c>
      <c r="E109" s="11" t="s">
        <v>730</v>
      </c>
      <c r="F109" s="11" t="s">
        <v>731</v>
      </c>
      <c r="G109" s="11" t="s">
        <v>732</v>
      </c>
      <c r="H109" s="11" t="n">
        <v>1</v>
      </c>
      <c r="I109" s="11" t="s">
        <v>733</v>
      </c>
      <c r="J109" s="10"/>
      <c r="K109" s="11"/>
    </row>
    <row r="110" customFormat="false" ht="15" hidden="false" customHeight="false" outlineLevel="0" collapsed="false">
      <c r="A110" s="9" t="s">
        <v>734</v>
      </c>
      <c r="B110" s="9" t="s">
        <v>252</v>
      </c>
      <c r="C110" s="9" t="s">
        <v>18</v>
      </c>
      <c r="D110" s="9" t="s">
        <v>735</v>
      </c>
      <c r="E110" s="9" t="s">
        <v>736</v>
      </c>
      <c r="F110" s="9" t="s">
        <v>737</v>
      </c>
      <c r="G110" s="9" t="s">
        <v>738</v>
      </c>
      <c r="H110" s="9" t="n">
        <v>30</v>
      </c>
      <c r="I110" s="9" t="s">
        <v>739</v>
      </c>
      <c r="J110" s="10"/>
      <c r="K110" s="9"/>
    </row>
    <row r="111" customFormat="false" ht="15" hidden="false" customHeight="false" outlineLevel="0" collapsed="false">
      <c r="A111" s="11" t="s">
        <v>740</v>
      </c>
      <c r="B111" s="11" t="s">
        <v>252</v>
      </c>
      <c r="C111" s="11" t="s">
        <v>18</v>
      </c>
      <c r="D111" s="11" t="s">
        <v>735</v>
      </c>
      <c r="E111" s="11" t="s">
        <v>741</v>
      </c>
      <c r="F111" s="11" t="s">
        <v>742</v>
      </c>
      <c r="G111" s="11" t="s">
        <v>743</v>
      </c>
      <c r="H111" s="11" t="n">
        <v>6</v>
      </c>
      <c r="I111" s="11" t="s">
        <v>744</v>
      </c>
      <c r="J111" s="10"/>
      <c r="K111" s="11"/>
    </row>
    <row r="112" customFormat="false" ht="22.35" hidden="false" customHeight="false" outlineLevel="0" collapsed="false">
      <c r="A112" s="9" t="s">
        <v>745</v>
      </c>
      <c r="B112" s="9" t="s">
        <v>252</v>
      </c>
      <c r="C112" s="9" t="s">
        <v>18</v>
      </c>
      <c r="D112" s="9" t="s">
        <v>119</v>
      </c>
      <c r="E112" s="9" t="s">
        <v>746</v>
      </c>
      <c r="F112" s="9" t="s">
        <v>747</v>
      </c>
      <c r="G112" s="9" t="s">
        <v>748</v>
      </c>
      <c r="H112" s="9" t="n">
        <v>1</v>
      </c>
      <c r="I112" s="9" t="s">
        <v>749</v>
      </c>
      <c r="J112" s="10"/>
      <c r="K112" s="9"/>
    </row>
    <row r="113" customFormat="false" ht="15" hidden="false" customHeight="false" outlineLevel="0" collapsed="false">
      <c r="A113" s="11" t="s">
        <v>750</v>
      </c>
      <c r="B113" s="11" t="s">
        <v>252</v>
      </c>
      <c r="C113" s="11" t="s">
        <v>18</v>
      </c>
      <c r="D113" s="11" t="s">
        <v>119</v>
      </c>
      <c r="E113" s="11" t="s">
        <v>746</v>
      </c>
      <c r="F113" s="11" t="s">
        <v>751</v>
      </c>
      <c r="G113" s="11" t="s">
        <v>752</v>
      </c>
      <c r="H113" s="11" t="n">
        <v>1</v>
      </c>
      <c r="I113" s="11" t="s">
        <v>753</v>
      </c>
      <c r="J113" s="10"/>
      <c r="K113" s="11"/>
    </row>
    <row r="114" customFormat="false" ht="15" hidden="false" customHeight="false" outlineLevel="0" collapsed="false">
      <c r="A114" s="9" t="s">
        <v>754</v>
      </c>
      <c r="B114" s="9" t="s">
        <v>252</v>
      </c>
      <c r="C114" s="9" t="s">
        <v>18</v>
      </c>
      <c r="D114" s="9" t="s">
        <v>119</v>
      </c>
      <c r="E114" s="9" t="s">
        <v>755</v>
      </c>
      <c r="F114" s="9" t="s">
        <v>756</v>
      </c>
      <c r="G114" s="9" t="s">
        <v>757</v>
      </c>
      <c r="H114" s="9" t="n">
        <v>1</v>
      </c>
      <c r="I114" s="9" t="s">
        <v>758</v>
      </c>
      <c r="J114" s="10"/>
      <c r="K114" s="9"/>
    </row>
    <row r="115" customFormat="false" ht="22.35" hidden="false" customHeight="false" outlineLevel="0" collapsed="false">
      <c r="A115" s="11" t="s">
        <v>759</v>
      </c>
      <c r="B115" s="11" t="s">
        <v>252</v>
      </c>
      <c r="C115" s="11" t="s">
        <v>18</v>
      </c>
      <c r="D115" s="11" t="s">
        <v>147</v>
      </c>
      <c r="E115" s="11" t="s">
        <v>760</v>
      </c>
      <c r="F115" s="11" t="s">
        <v>761</v>
      </c>
      <c r="G115" s="11" t="s">
        <v>762</v>
      </c>
      <c r="H115" s="11" t="n">
        <v>1</v>
      </c>
      <c r="I115" s="11" t="s">
        <v>763</v>
      </c>
      <c r="J115" s="10"/>
      <c r="K115" s="11"/>
    </row>
    <row r="116" customFormat="false" ht="22.35" hidden="false" customHeight="false" outlineLevel="0" collapsed="false">
      <c r="A116" s="9" t="s">
        <v>764</v>
      </c>
      <c r="B116" s="9" t="s">
        <v>252</v>
      </c>
      <c r="C116" s="9" t="s">
        <v>18</v>
      </c>
      <c r="D116" s="9" t="s">
        <v>119</v>
      </c>
      <c r="E116" s="9" t="s">
        <v>765</v>
      </c>
      <c r="F116" s="9" t="s">
        <v>766</v>
      </c>
      <c r="G116" s="9" t="s">
        <v>767</v>
      </c>
      <c r="H116" s="9" t="n">
        <v>1</v>
      </c>
      <c r="I116" s="9" t="s">
        <v>768</v>
      </c>
      <c r="J116" s="10"/>
      <c r="K116" s="9"/>
    </row>
    <row r="117" customFormat="false" ht="15" hidden="false" customHeight="false" outlineLevel="0" collapsed="false">
      <c r="A117" s="11" t="s">
        <v>769</v>
      </c>
      <c r="B117" s="11" t="s">
        <v>252</v>
      </c>
      <c r="C117" s="11" t="s">
        <v>12</v>
      </c>
      <c r="D117" s="11" t="s">
        <v>770</v>
      </c>
      <c r="E117" s="11" t="s">
        <v>771</v>
      </c>
      <c r="F117" s="11" t="s">
        <v>772</v>
      </c>
      <c r="G117" s="11" t="s">
        <v>773</v>
      </c>
      <c r="H117" s="11" t="n">
        <v>26</v>
      </c>
      <c r="I117" s="11" t="s">
        <v>774</v>
      </c>
      <c r="J117" s="10"/>
      <c r="K117" s="11"/>
    </row>
    <row r="118" customFormat="false" ht="22.35" hidden="false" customHeight="false" outlineLevel="0" collapsed="false">
      <c r="A118" s="9" t="s">
        <v>775</v>
      </c>
      <c r="B118" s="9" t="s">
        <v>252</v>
      </c>
      <c r="C118" s="9" t="s">
        <v>12</v>
      </c>
      <c r="D118" s="9" t="s">
        <v>770</v>
      </c>
      <c r="E118" s="9" t="s">
        <v>776</v>
      </c>
      <c r="F118" s="9" t="s">
        <v>777</v>
      </c>
      <c r="G118" s="9" t="s">
        <v>778</v>
      </c>
      <c r="H118" s="9" t="n">
        <v>46</v>
      </c>
      <c r="I118" s="9" t="s">
        <v>779</v>
      </c>
      <c r="J118" s="10"/>
      <c r="K118" s="9"/>
    </row>
    <row r="119" customFormat="false" ht="22.35" hidden="false" customHeight="false" outlineLevel="0" collapsed="false">
      <c r="A119" s="11" t="s">
        <v>780</v>
      </c>
      <c r="B119" s="11" t="s">
        <v>252</v>
      </c>
      <c r="C119" s="11" t="s">
        <v>12</v>
      </c>
      <c r="D119" s="11" t="s">
        <v>781</v>
      </c>
      <c r="E119" s="11" t="s">
        <v>782</v>
      </c>
      <c r="F119" s="11" t="s">
        <v>783</v>
      </c>
      <c r="G119" s="11" t="s">
        <v>784</v>
      </c>
      <c r="H119" s="11" t="n">
        <v>1</v>
      </c>
      <c r="I119" s="11" t="s">
        <v>785</v>
      </c>
      <c r="J119" s="10"/>
      <c r="K119" s="11"/>
    </row>
    <row r="120" customFormat="false" ht="15" hidden="false" customHeight="false" outlineLevel="0" collapsed="false">
      <c r="A120" s="9" t="s">
        <v>786</v>
      </c>
      <c r="B120" s="9" t="s">
        <v>252</v>
      </c>
      <c r="C120" s="9" t="s">
        <v>16</v>
      </c>
      <c r="D120" s="9" t="s">
        <v>171</v>
      </c>
      <c r="E120" s="9" t="s">
        <v>787</v>
      </c>
      <c r="F120" s="9" t="s">
        <v>788</v>
      </c>
      <c r="G120" s="9" t="s">
        <v>789</v>
      </c>
      <c r="H120" s="9" t="n">
        <v>1</v>
      </c>
      <c r="I120" s="9" t="s">
        <v>790</v>
      </c>
      <c r="J120" s="10"/>
      <c r="K120" s="9"/>
    </row>
    <row r="121" customFormat="false" ht="15" hidden="false" customHeight="false" outlineLevel="0" collapsed="false">
      <c r="A121" s="11" t="s">
        <v>791</v>
      </c>
      <c r="B121" s="11" t="s">
        <v>252</v>
      </c>
      <c r="C121" s="11" t="s">
        <v>16</v>
      </c>
      <c r="D121" s="11" t="s">
        <v>171</v>
      </c>
      <c r="E121" s="11" t="s">
        <v>792</v>
      </c>
      <c r="F121" s="11" t="s">
        <v>793</v>
      </c>
      <c r="G121" s="11" t="s">
        <v>365</v>
      </c>
      <c r="H121" s="11" t="n">
        <v>4</v>
      </c>
      <c r="I121" s="11" t="s">
        <v>794</v>
      </c>
      <c r="J121" s="10"/>
      <c r="K121" s="11"/>
    </row>
    <row r="122" customFormat="false" ht="15" hidden="false" customHeight="false" outlineLevel="0" collapsed="false">
      <c r="A122" s="9" t="s">
        <v>795</v>
      </c>
      <c r="B122" s="9" t="s">
        <v>252</v>
      </c>
      <c r="C122" s="9" t="s">
        <v>16</v>
      </c>
      <c r="D122" s="9" t="s">
        <v>171</v>
      </c>
      <c r="E122" s="9" t="s">
        <v>172</v>
      </c>
      <c r="F122" s="9" t="s">
        <v>796</v>
      </c>
      <c r="G122" s="9" t="s">
        <v>797</v>
      </c>
      <c r="H122" s="9" t="n">
        <v>1</v>
      </c>
      <c r="I122" s="9" t="s">
        <v>798</v>
      </c>
      <c r="J122" s="10"/>
      <c r="K122" s="9"/>
    </row>
    <row r="123" customFormat="false" ht="15" hidden="false" customHeight="false" outlineLevel="0" collapsed="false">
      <c r="A123" s="11" t="s">
        <v>799</v>
      </c>
      <c r="B123" s="11" t="s">
        <v>252</v>
      </c>
      <c r="C123" s="11" t="s">
        <v>16</v>
      </c>
      <c r="D123" s="11" t="s">
        <v>171</v>
      </c>
      <c r="E123" s="11" t="s">
        <v>800</v>
      </c>
      <c r="F123" s="11" t="s">
        <v>801</v>
      </c>
      <c r="G123" s="11" t="s">
        <v>802</v>
      </c>
      <c r="H123" s="11" t="n">
        <v>1</v>
      </c>
      <c r="I123" s="11" t="s">
        <v>803</v>
      </c>
      <c r="J123" s="10"/>
      <c r="K123" s="11"/>
    </row>
    <row r="124" customFormat="false" ht="15" hidden="false" customHeight="false" outlineLevel="0" collapsed="false">
      <c r="A124" s="9" t="s">
        <v>804</v>
      </c>
      <c r="B124" s="9" t="s">
        <v>252</v>
      </c>
      <c r="C124" s="9" t="s">
        <v>16</v>
      </c>
      <c r="D124" s="9" t="s">
        <v>171</v>
      </c>
      <c r="E124" s="9" t="s">
        <v>800</v>
      </c>
      <c r="F124" s="9" t="s">
        <v>805</v>
      </c>
      <c r="G124" s="9" t="s">
        <v>365</v>
      </c>
      <c r="H124" s="9" t="n">
        <v>1</v>
      </c>
      <c r="I124" s="9" t="s">
        <v>806</v>
      </c>
      <c r="J124" s="10"/>
      <c r="K124" s="9"/>
    </row>
    <row r="125" customFormat="false" ht="15" hidden="false" customHeight="false" outlineLevel="0" collapsed="false">
      <c r="A125" s="11" t="s">
        <v>807</v>
      </c>
      <c r="B125" s="11" t="s">
        <v>252</v>
      </c>
      <c r="C125" s="11" t="s">
        <v>16</v>
      </c>
      <c r="D125" s="11" t="s">
        <v>171</v>
      </c>
      <c r="E125" s="11" t="s">
        <v>172</v>
      </c>
      <c r="F125" s="11" t="s">
        <v>808</v>
      </c>
      <c r="G125" s="11" t="s">
        <v>365</v>
      </c>
      <c r="H125" s="11" t="n">
        <v>5</v>
      </c>
      <c r="I125" s="11" t="s">
        <v>809</v>
      </c>
      <c r="J125" s="10"/>
      <c r="K125" s="11"/>
    </row>
    <row r="126" customFormat="false" ht="15" hidden="false" customHeight="false" outlineLevel="0" collapsed="false">
      <c r="A126" s="9" t="s">
        <v>810</v>
      </c>
      <c r="B126" s="9" t="s">
        <v>252</v>
      </c>
      <c r="C126" s="9" t="s">
        <v>16</v>
      </c>
      <c r="D126" s="9" t="s">
        <v>171</v>
      </c>
      <c r="E126" s="9" t="s">
        <v>811</v>
      </c>
      <c r="F126" s="9" t="s">
        <v>812</v>
      </c>
      <c r="G126" s="9" t="s">
        <v>197</v>
      </c>
      <c r="H126" s="9" t="n">
        <v>1</v>
      </c>
      <c r="I126" s="9" t="s">
        <v>813</v>
      </c>
      <c r="J126" s="10"/>
      <c r="K126" s="9"/>
    </row>
    <row r="127" customFormat="false" ht="15" hidden="false" customHeight="false" outlineLevel="0" collapsed="false">
      <c r="A127" s="11" t="s">
        <v>814</v>
      </c>
      <c r="B127" s="11" t="s">
        <v>252</v>
      </c>
      <c r="C127" s="11" t="s">
        <v>16</v>
      </c>
      <c r="D127" s="11" t="s">
        <v>171</v>
      </c>
      <c r="E127" s="11" t="s">
        <v>815</v>
      </c>
      <c r="F127" s="11" t="s">
        <v>816</v>
      </c>
      <c r="G127" s="11" t="s">
        <v>197</v>
      </c>
      <c r="H127" s="11" t="n">
        <v>1</v>
      </c>
      <c r="I127" s="11" t="s">
        <v>817</v>
      </c>
      <c r="J127" s="10"/>
      <c r="K127" s="11"/>
    </row>
    <row r="128" customFormat="false" ht="22.35" hidden="false" customHeight="false" outlineLevel="0" collapsed="false">
      <c r="A128" s="9" t="s">
        <v>818</v>
      </c>
      <c r="B128" s="9" t="s">
        <v>252</v>
      </c>
      <c r="C128" s="9" t="s">
        <v>16</v>
      </c>
      <c r="D128" s="9" t="s">
        <v>171</v>
      </c>
      <c r="E128" s="9" t="s">
        <v>819</v>
      </c>
      <c r="F128" s="9" t="s">
        <v>820</v>
      </c>
      <c r="G128" s="9" t="s">
        <v>435</v>
      </c>
      <c r="H128" s="9" t="n">
        <v>1</v>
      </c>
      <c r="I128" s="9" t="s">
        <v>821</v>
      </c>
      <c r="J128" s="10"/>
      <c r="K128" s="9"/>
    </row>
    <row r="129" customFormat="false" ht="22.35" hidden="false" customHeight="false" outlineLevel="0" collapsed="false">
      <c r="A129" s="11" t="s">
        <v>822</v>
      </c>
      <c r="B129" s="11" t="s">
        <v>252</v>
      </c>
      <c r="C129" s="11" t="s">
        <v>16</v>
      </c>
      <c r="D129" s="11" t="s">
        <v>171</v>
      </c>
      <c r="E129" s="11" t="s">
        <v>823</v>
      </c>
      <c r="F129" s="11" t="s">
        <v>824</v>
      </c>
      <c r="G129" s="11" t="s">
        <v>417</v>
      </c>
      <c r="H129" s="11" t="n">
        <v>1</v>
      </c>
      <c r="I129" s="11" t="s">
        <v>825</v>
      </c>
      <c r="J129" s="10"/>
      <c r="K129" s="11"/>
    </row>
    <row r="130" customFormat="false" ht="22.35" hidden="false" customHeight="false" outlineLevel="0" collapsed="false">
      <c r="A130" s="9" t="s">
        <v>826</v>
      </c>
      <c r="B130" s="9" t="s">
        <v>252</v>
      </c>
      <c r="C130" s="9" t="s">
        <v>16</v>
      </c>
      <c r="D130" s="9" t="s">
        <v>177</v>
      </c>
      <c r="E130" s="9" t="s">
        <v>827</v>
      </c>
      <c r="F130" s="9" t="s">
        <v>828</v>
      </c>
      <c r="G130" s="9" t="s">
        <v>829</v>
      </c>
      <c r="H130" s="9" t="n">
        <v>1</v>
      </c>
      <c r="I130" s="9" t="s">
        <v>830</v>
      </c>
      <c r="J130" s="10"/>
      <c r="K130" s="9"/>
    </row>
    <row r="131" customFormat="false" ht="15" hidden="false" customHeight="false" outlineLevel="0" collapsed="false">
      <c r="A131" s="11" t="s">
        <v>831</v>
      </c>
      <c r="B131" s="11" t="s">
        <v>252</v>
      </c>
      <c r="C131" s="11" t="s">
        <v>16</v>
      </c>
      <c r="D131" s="11" t="s">
        <v>177</v>
      </c>
      <c r="E131" s="11" t="s">
        <v>832</v>
      </c>
      <c r="F131" s="11" t="s">
        <v>833</v>
      </c>
      <c r="G131" s="11" t="s">
        <v>834</v>
      </c>
      <c r="H131" s="11" t="n">
        <v>1</v>
      </c>
      <c r="I131" s="11" t="s">
        <v>835</v>
      </c>
      <c r="J131" s="10"/>
      <c r="K131" s="11"/>
    </row>
    <row r="132" customFormat="false" ht="15" hidden="false" customHeight="false" outlineLevel="0" collapsed="false">
      <c r="A132" s="9" t="s">
        <v>836</v>
      </c>
      <c r="B132" s="9" t="s">
        <v>252</v>
      </c>
      <c r="C132" s="9" t="s">
        <v>16</v>
      </c>
      <c r="D132" s="9" t="s">
        <v>177</v>
      </c>
      <c r="E132" s="9" t="s">
        <v>469</v>
      </c>
      <c r="F132" s="9" t="s">
        <v>837</v>
      </c>
      <c r="G132" s="9" t="s">
        <v>365</v>
      </c>
      <c r="H132" s="9" t="n">
        <v>4</v>
      </c>
      <c r="I132" s="9" t="s">
        <v>838</v>
      </c>
      <c r="J132" s="10"/>
      <c r="K132" s="9"/>
    </row>
    <row r="133" customFormat="false" ht="22.35" hidden="false" customHeight="false" outlineLevel="0" collapsed="false">
      <c r="A133" s="11" t="s">
        <v>839</v>
      </c>
      <c r="B133" s="11" t="s">
        <v>252</v>
      </c>
      <c r="C133" s="11" t="s">
        <v>16</v>
      </c>
      <c r="D133" s="11" t="s">
        <v>177</v>
      </c>
      <c r="E133" s="11" t="s">
        <v>840</v>
      </c>
      <c r="F133" s="11" t="s">
        <v>841</v>
      </c>
      <c r="G133" s="11" t="s">
        <v>842</v>
      </c>
      <c r="H133" s="11" t="n">
        <v>1</v>
      </c>
      <c r="I133" s="11" t="s">
        <v>843</v>
      </c>
      <c r="J133" s="10"/>
      <c r="K133" s="11"/>
    </row>
    <row r="134" customFormat="false" ht="32.8" hidden="false" customHeight="false" outlineLevel="0" collapsed="false">
      <c r="A134" s="9" t="s">
        <v>844</v>
      </c>
      <c r="B134" s="9" t="s">
        <v>252</v>
      </c>
      <c r="C134" s="9" t="s">
        <v>16</v>
      </c>
      <c r="D134" s="9" t="s">
        <v>183</v>
      </c>
      <c r="E134" s="9" t="s">
        <v>184</v>
      </c>
      <c r="F134" s="9" t="s">
        <v>845</v>
      </c>
      <c r="G134" s="9" t="s">
        <v>846</v>
      </c>
      <c r="H134" s="9" t="n">
        <v>1</v>
      </c>
      <c r="I134" s="9" t="s">
        <v>847</v>
      </c>
      <c r="J134" s="10"/>
      <c r="K134" s="9"/>
    </row>
    <row r="135" customFormat="false" ht="22.35" hidden="false" customHeight="false" outlineLevel="0" collapsed="false">
      <c r="A135" s="11" t="s">
        <v>848</v>
      </c>
      <c r="B135" s="11" t="s">
        <v>252</v>
      </c>
      <c r="C135" s="11" t="s">
        <v>16</v>
      </c>
      <c r="D135" s="11" t="s">
        <v>189</v>
      </c>
      <c r="E135" s="11" t="s">
        <v>849</v>
      </c>
      <c r="F135" s="11" t="s">
        <v>850</v>
      </c>
      <c r="G135" s="11" t="s">
        <v>851</v>
      </c>
      <c r="H135" s="11" t="n">
        <v>1</v>
      </c>
      <c r="I135" s="11" t="s">
        <v>852</v>
      </c>
      <c r="J135" s="10"/>
      <c r="K135" s="11"/>
    </row>
    <row r="136" customFormat="false" ht="22.35" hidden="false" customHeight="false" outlineLevel="0" collapsed="false">
      <c r="A136" s="9" t="s">
        <v>853</v>
      </c>
      <c r="B136" s="9" t="s">
        <v>252</v>
      </c>
      <c r="C136" s="9" t="s">
        <v>16</v>
      </c>
      <c r="D136" s="9" t="s">
        <v>189</v>
      </c>
      <c r="E136" s="9" t="s">
        <v>849</v>
      </c>
      <c r="F136" s="9" t="s">
        <v>854</v>
      </c>
      <c r="G136" s="9" t="s">
        <v>855</v>
      </c>
      <c r="H136" s="9" t="n">
        <v>3</v>
      </c>
      <c r="I136" s="9" t="s">
        <v>856</v>
      </c>
      <c r="J136" s="10"/>
      <c r="K136" s="9"/>
    </row>
    <row r="137" customFormat="false" ht="22.35" hidden="false" customHeight="false" outlineLevel="0" collapsed="false">
      <c r="A137" s="11" t="s">
        <v>857</v>
      </c>
      <c r="B137" s="11" t="s">
        <v>252</v>
      </c>
      <c r="C137" s="11" t="s">
        <v>16</v>
      </c>
      <c r="D137" s="11" t="s">
        <v>189</v>
      </c>
      <c r="E137" s="11" t="s">
        <v>858</v>
      </c>
      <c r="F137" s="11" t="s">
        <v>859</v>
      </c>
      <c r="G137" s="11" t="s">
        <v>860</v>
      </c>
      <c r="H137" s="11" t="n">
        <v>1</v>
      </c>
      <c r="I137" s="11" t="s">
        <v>861</v>
      </c>
      <c r="J137" s="10"/>
      <c r="K137" s="11"/>
    </row>
    <row r="138" customFormat="false" ht="15" hidden="false" customHeight="false" outlineLevel="0" collapsed="false">
      <c r="A138" s="9" t="s">
        <v>862</v>
      </c>
      <c r="B138" s="9" t="s">
        <v>252</v>
      </c>
      <c r="C138" s="9" t="s">
        <v>16</v>
      </c>
      <c r="D138" s="9" t="s">
        <v>189</v>
      </c>
      <c r="E138" s="9" t="s">
        <v>849</v>
      </c>
      <c r="F138" s="9" t="s">
        <v>863</v>
      </c>
      <c r="G138" s="9" t="s">
        <v>197</v>
      </c>
      <c r="H138" s="9" t="n">
        <v>1</v>
      </c>
      <c r="I138" s="9" t="s">
        <v>864</v>
      </c>
      <c r="J138" s="10"/>
      <c r="K138" s="9"/>
    </row>
    <row r="139" customFormat="false" ht="15" hidden="false" customHeight="false" outlineLevel="0" collapsed="false">
      <c r="A139" s="11" t="s">
        <v>865</v>
      </c>
      <c r="B139" s="11" t="s">
        <v>252</v>
      </c>
      <c r="C139" s="11" t="s">
        <v>16</v>
      </c>
      <c r="D139" s="11" t="s">
        <v>189</v>
      </c>
      <c r="E139" s="11" t="s">
        <v>866</v>
      </c>
      <c r="F139" s="11" t="s">
        <v>867</v>
      </c>
      <c r="G139" s="11" t="s">
        <v>797</v>
      </c>
      <c r="H139" s="11" t="n">
        <v>1</v>
      </c>
      <c r="I139" s="11" t="s">
        <v>868</v>
      </c>
      <c r="J139" s="10"/>
      <c r="K139" s="11"/>
    </row>
    <row r="140" customFormat="false" ht="15" hidden="false" customHeight="false" outlineLevel="0" collapsed="false">
      <c r="A140" s="9" t="s">
        <v>869</v>
      </c>
      <c r="B140" s="9" t="s">
        <v>252</v>
      </c>
      <c r="C140" s="9" t="s">
        <v>16</v>
      </c>
      <c r="D140" s="9" t="s">
        <v>189</v>
      </c>
      <c r="E140" s="9" t="s">
        <v>866</v>
      </c>
      <c r="F140" s="9" t="s">
        <v>870</v>
      </c>
      <c r="G140" s="9" t="s">
        <v>365</v>
      </c>
      <c r="H140" s="9" t="n">
        <v>4</v>
      </c>
      <c r="I140" s="9" t="s">
        <v>871</v>
      </c>
      <c r="J140" s="10"/>
      <c r="K140" s="9"/>
    </row>
    <row r="141" customFormat="false" ht="22.35" hidden="false" customHeight="false" outlineLevel="0" collapsed="false">
      <c r="A141" s="11" t="s">
        <v>872</v>
      </c>
      <c r="B141" s="11" t="s">
        <v>252</v>
      </c>
      <c r="C141" s="11" t="s">
        <v>16</v>
      </c>
      <c r="D141" s="11" t="s">
        <v>189</v>
      </c>
      <c r="E141" s="11" t="s">
        <v>873</v>
      </c>
      <c r="F141" s="11" t="s">
        <v>874</v>
      </c>
      <c r="G141" s="11" t="s">
        <v>875</v>
      </c>
      <c r="H141" s="11" t="n">
        <v>1</v>
      </c>
      <c r="I141" s="11" t="s">
        <v>876</v>
      </c>
      <c r="J141" s="10"/>
      <c r="K141" s="11"/>
    </row>
    <row r="142" customFormat="false" ht="15" hidden="false" customHeight="false" outlineLevel="0" collapsed="false">
      <c r="A142" s="9" t="s">
        <v>877</v>
      </c>
      <c r="B142" s="9" t="s">
        <v>252</v>
      </c>
      <c r="C142" s="9" t="s">
        <v>16</v>
      </c>
      <c r="D142" s="9" t="s">
        <v>189</v>
      </c>
      <c r="E142" s="9" t="s">
        <v>195</v>
      </c>
      <c r="F142" s="9" t="s">
        <v>878</v>
      </c>
      <c r="G142" s="9" t="s">
        <v>879</v>
      </c>
      <c r="H142" s="9" t="n">
        <v>1</v>
      </c>
      <c r="I142" s="9" t="s">
        <v>880</v>
      </c>
      <c r="J142" s="10"/>
      <c r="K142" s="9"/>
    </row>
    <row r="143" customFormat="false" ht="22.35" hidden="false" customHeight="false" outlineLevel="0" collapsed="false">
      <c r="A143" s="11" t="s">
        <v>881</v>
      </c>
      <c r="B143" s="11" t="s">
        <v>252</v>
      </c>
      <c r="C143" s="11" t="s">
        <v>16</v>
      </c>
      <c r="D143" s="11" t="s">
        <v>189</v>
      </c>
      <c r="E143" s="11" t="s">
        <v>882</v>
      </c>
      <c r="F143" s="11" t="s">
        <v>883</v>
      </c>
      <c r="G143" s="11" t="s">
        <v>884</v>
      </c>
      <c r="H143" s="11" t="n">
        <v>1</v>
      </c>
      <c r="I143" s="11" t="s">
        <v>885</v>
      </c>
      <c r="J143" s="10"/>
      <c r="K143" s="11"/>
    </row>
    <row r="144" customFormat="false" ht="22.35" hidden="false" customHeight="false" outlineLevel="0" collapsed="false">
      <c r="A144" s="9" t="s">
        <v>886</v>
      </c>
      <c r="B144" s="9" t="s">
        <v>252</v>
      </c>
      <c r="C144" s="9" t="s">
        <v>16</v>
      </c>
      <c r="D144" s="9" t="s">
        <v>189</v>
      </c>
      <c r="E144" s="9" t="s">
        <v>887</v>
      </c>
      <c r="F144" s="9" t="s">
        <v>888</v>
      </c>
      <c r="G144" s="9" t="s">
        <v>197</v>
      </c>
      <c r="H144" s="9" t="n">
        <v>3</v>
      </c>
      <c r="I144" s="9" t="s">
        <v>889</v>
      </c>
      <c r="J144" s="10"/>
      <c r="K144" s="9"/>
    </row>
    <row r="145" customFormat="false" ht="22.35" hidden="false" customHeight="false" outlineLevel="0" collapsed="false">
      <c r="A145" s="11" t="s">
        <v>890</v>
      </c>
      <c r="B145" s="11" t="s">
        <v>252</v>
      </c>
      <c r="C145" s="11" t="s">
        <v>16</v>
      </c>
      <c r="D145" s="11" t="s">
        <v>200</v>
      </c>
      <c r="E145" s="11" t="s">
        <v>201</v>
      </c>
      <c r="F145" s="11" t="s">
        <v>891</v>
      </c>
      <c r="G145" s="11" t="s">
        <v>892</v>
      </c>
      <c r="H145" s="11" t="n">
        <v>1</v>
      </c>
      <c r="I145" s="11" t="s">
        <v>893</v>
      </c>
      <c r="J145" s="10"/>
      <c r="K145" s="11"/>
    </row>
    <row r="146" customFormat="false" ht="22.35" hidden="false" customHeight="false" outlineLevel="0" collapsed="false">
      <c r="A146" s="9" t="s">
        <v>894</v>
      </c>
      <c r="B146" s="9" t="s">
        <v>252</v>
      </c>
      <c r="C146" s="9" t="s">
        <v>16</v>
      </c>
      <c r="D146" s="9" t="s">
        <v>200</v>
      </c>
      <c r="E146" s="9" t="s">
        <v>201</v>
      </c>
      <c r="F146" s="9" t="s">
        <v>895</v>
      </c>
      <c r="G146" s="9" t="s">
        <v>896</v>
      </c>
      <c r="H146" s="9" t="n">
        <v>1</v>
      </c>
      <c r="I146" s="9" t="s">
        <v>897</v>
      </c>
      <c r="J146" s="10"/>
      <c r="K146" s="9"/>
    </row>
    <row r="147" customFormat="false" ht="22.35" hidden="false" customHeight="false" outlineLevel="0" collapsed="false">
      <c r="A147" s="11" t="s">
        <v>898</v>
      </c>
      <c r="B147" s="11" t="s">
        <v>252</v>
      </c>
      <c r="C147" s="11" t="s">
        <v>16</v>
      </c>
      <c r="D147" s="11" t="s">
        <v>200</v>
      </c>
      <c r="E147" s="11" t="s">
        <v>887</v>
      </c>
      <c r="F147" s="11" t="s">
        <v>899</v>
      </c>
      <c r="G147" s="11" t="s">
        <v>900</v>
      </c>
      <c r="H147" s="11" t="n">
        <v>1</v>
      </c>
      <c r="I147" s="11" t="s">
        <v>901</v>
      </c>
      <c r="J147" s="10"/>
      <c r="K147" s="11"/>
    </row>
    <row r="148" customFormat="false" ht="22.35" hidden="false" customHeight="false" outlineLevel="0" collapsed="false">
      <c r="A148" s="9" t="s">
        <v>902</v>
      </c>
      <c r="B148" s="9" t="s">
        <v>252</v>
      </c>
      <c r="C148" s="9" t="s">
        <v>16</v>
      </c>
      <c r="D148" s="9" t="s">
        <v>206</v>
      </c>
      <c r="E148" s="9" t="s">
        <v>903</v>
      </c>
      <c r="F148" s="9" t="s">
        <v>904</v>
      </c>
      <c r="G148" s="9" t="s">
        <v>905</v>
      </c>
      <c r="H148" s="9" t="n">
        <v>1</v>
      </c>
      <c r="I148" s="9" t="s">
        <v>906</v>
      </c>
      <c r="J148" s="10"/>
      <c r="K148" s="9"/>
    </row>
    <row r="149" customFormat="false" ht="32.8" hidden="false" customHeight="false" outlineLevel="0" collapsed="false">
      <c r="A149" s="11" t="s">
        <v>907</v>
      </c>
      <c r="B149" s="11" t="s">
        <v>252</v>
      </c>
      <c r="C149" s="11" t="s">
        <v>16</v>
      </c>
      <c r="D149" s="11" t="s">
        <v>206</v>
      </c>
      <c r="E149" s="11" t="s">
        <v>908</v>
      </c>
      <c r="F149" s="11" t="s">
        <v>909</v>
      </c>
      <c r="G149" s="11" t="s">
        <v>910</v>
      </c>
      <c r="H149" s="11" t="n">
        <v>1</v>
      </c>
      <c r="I149" s="11" t="s">
        <v>911</v>
      </c>
      <c r="J149" s="10"/>
      <c r="K149" s="11"/>
    </row>
    <row r="150" customFormat="false" ht="15" hidden="false" customHeight="false" outlineLevel="0" collapsed="false">
      <c r="A150" s="9" t="s">
        <v>912</v>
      </c>
      <c r="B150" s="9" t="s">
        <v>252</v>
      </c>
      <c r="C150" s="9" t="s">
        <v>16</v>
      </c>
      <c r="D150" s="9" t="s">
        <v>206</v>
      </c>
      <c r="E150" s="9" t="s">
        <v>648</v>
      </c>
      <c r="F150" s="9" t="s">
        <v>913</v>
      </c>
      <c r="G150" s="9" t="s">
        <v>197</v>
      </c>
      <c r="H150" s="9" t="n">
        <v>3</v>
      </c>
      <c r="I150" s="9" t="s">
        <v>914</v>
      </c>
      <c r="J150" s="10"/>
      <c r="K150" s="9"/>
    </row>
    <row r="151" customFormat="false" ht="15" hidden="false" customHeight="false" outlineLevel="0" collapsed="false">
      <c r="A151" s="11" t="s">
        <v>915</v>
      </c>
      <c r="B151" s="11" t="s">
        <v>252</v>
      </c>
      <c r="C151" s="11" t="s">
        <v>16</v>
      </c>
      <c r="D151" s="11" t="s">
        <v>206</v>
      </c>
      <c r="E151" s="11" t="s">
        <v>916</v>
      </c>
      <c r="F151" s="11" t="s">
        <v>917</v>
      </c>
      <c r="G151" s="11" t="s">
        <v>918</v>
      </c>
      <c r="H151" s="11" t="n">
        <v>1</v>
      </c>
      <c r="I151" s="11" t="s">
        <v>919</v>
      </c>
      <c r="J151" s="10"/>
      <c r="K151" s="11"/>
    </row>
    <row r="152" customFormat="false" ht="15" hidden="false" customHeight="false" outlineLevel="0" collapsed="false">
      <c r="A152" s="9" t="s">
        <v>920</v>
      </c>
      <c r="B152" s="9" t="s">
        <v>252</v>
      </c>
      <c r="C152" s="9" t="s">
        <v>16</v>
      </c>
      <c r="D152" s="9" t="s">
        <v>183</v>
      </c>
      <c r="E152" s="9" t="s">
        <v>921</v>
      </c>
      <c r="F152" s="9" t="s">
        <v>922</v>
      </c>
      <c r="G152" s="9" t="s">
        <v>923</v>
      </c>
      <c r="H152" s="9" t="n">
        <v>1</v>
      </c>
      <c r="I152" s="9" t="s">
        <v>924</v>
      </c>
      <c r="J152" s="10"/>
      <c r="K152" s="9"/>
    </row>
    <row r="153" customFormat="false" ht="22.35" hidden="false" customHeight="false" outlineLevel="0" collapsed="false">
      <c r="A153" s="11" t="s">
        <v>925</v>
      </c>
      <c r="B153" s="11" t="s">
        <v>252</v>
      </c>
      <c r="C153" s="11" t="s">
        <v>13</v>
      </c>
      <c r="D153" s="11" t="s">
        <v>81</v>
      </c>
      <c r="E153" s="11" t="s">
        <v>82</v>
      </c>
      <c r="F153" s="11" t="s">
        <v>926</v>
      </c>
      <c r="G153" s="11" t="s">
        <v>927</v>
      </c>
      <c r="H153" s="11" t="n">
        <v>1</v>
      </c>
      <c r="I153" s="11" t="s">
        <v>928</v>
      </c>
      <c r="J153" s="10"/>
      <c r="K153" s="11"/>
    </row>
    <row r="154" customFormat="false" ht="15" hidden="false" customHeight="false" outlineLevel="0" collapsed="false">
      <c r="A154" s="9" t="s">
        <v>929</v>
      </c>
      <c r="B154" s="9" t="s">
        <v>252</v>
      </c>
      <c r="C154" s="9" t="s">
        <v>13</v>
      </c>
      <c r="D154" s="9" t="s">
        <v>81</v>
      </c>
      <c r="E154" s="9" t="s">
        <v>82</v>
      </c>
      <c r="F154" s="9" t="s">
        <v>930</v>
      </c>
      <c r="G154" s="9" t="s">
        <v>931</v>
      </c>
      <c r="H154" s="9" t="n">
        <v>1</v>
      </c>
      <c r="I154" s="9" t="s">
        <v>932</v>
      </c>
      <c r="J154" s="10"/>
      <c r="K154" s="9"/>
    </row>
    <row r="155" customFormat="false" ht="22.35" hidden="false" customHeight="false" outlineLevel="0" collapsed="false">
      <c r="A155" s="11" t="s">
        <v>933</v>
      </c>
      <c r="B155" s="11" t="s">
        <v>252</v>
      </c>
      <c r="C155" s="11" t="s">
        <v>13</v>
      </c>
      <c r="D155" s="11" t="s">
        <v>81</v>
      </c>
      <c r="E155" s="11" t="s">
        <v>82</v>
      </c>
      <c r="F155" s="11" t="s">
        <v>934</v>
      </c>
      <c r="G155" s="11" t="s">
        <v>365</v>
      </c>
      <c r="H155" s="11" t="n">
        <v>3</v>
      </c>
      <c r="I155" s="11" t="s">
        <v>935</v>
      </c>
      <c r="J155" s="10"/>
      <c r="K155" s="11"/>
    </row>
    <row r="156" customFormat="false" ht="15" hidden="false" customHeight="false" outlineLevel="0" collapsed="false">
      <c r="A156" s="9" t="s">
        <v>936</v>
      </c>
      <c r="B156" s="9" t="s">
        <v>252</v>
      </c>
      <c r="C156" s="9" t="s">
        <v>13</v>
      </c>
      <c r="D156" s="9" t="s">
        <v>81</v>
      </c>
      <c r="E156" s="9" t="s">
        <v>82</v>
      </c>
      <c r="F156" s="9" t="s">
        <v>937</v>
      </c>
      <c r="G156" s="9" t="s">
        <v>365</v>
      </c>
      <c r="H156" s="9" t="n">
        <v>1</v>
      </c>
      <c r="I156" s="9" t="s">
        <v>938</v>
      </c>
      <c r="J156" s="10"/>
      <c r="K156" s="9"/>
    </row>
    <row r="157" customFormat="false" ht="22.35" hidden="false" customHeight="false" outlineLevel="0" collapsed="false">
      <c r="A157" s="11" t="s">
        <v>939</v>
      </c>
      <c r="B157" s="11" t="s">
        <v>252</v>
      </c>
      <c r="C157" s="11" t="s">
        <v>13</v>
      </c>
      <c r="D157" s="11" t="s">
        <v>81</v>
      </c>
      <c r="E157" s="11" t="s">
        <v>82</v>
      </c>
      <c r="F157" s="11" t="s">
        <v>940</v>
      </c>
      <c r="G157" s="11" t="s">
        <v>197</v>
      </c>
      <c r="H157" s="11" t="n">
        <v>1</v>
      </c>
      <c r="I157" s="11" t="s">
        <v>941</v>
      </c>
      <c r="J157" s="10"/>
      <c r="K157" s="11"/>
    </row>
    <row r="158" customFormat="false" ht="15" hidden="false" customHeight="false" outlineLevel="0" collapsed="false">
      <c r="A158" s="9" t="s">
        <v>942</v>
      </c>
      <c r="B158" s="9" t="s">
        <v>252</v>
      </c>
      <c r="C158" s="9" t="s">
        <v>13</v>
      </c>
      <c r="D158" s="9" t="s">
        <v>81</v>
      </c>
      <c r="E158" s="9" t="s">
        <v>943</v>
      </c>
      <c r="F158" s="9" t="s">
        <v>944</v>
      </c>
      <c r="G158" s="9" t="s">
        <v>52</v>
      </c>
      <c r="H158" s="9" t="n">
        <v>1</v>
      </c>
      <c r="I158" s="9" t="s">
        <v>945</v>
      </c>
      <c r="J158" s="10"/>
      <c r="K158" s="9"/>
    </row>
    <row r="159" customFormat="false" ht="15" hidden="false" customHeight="false" outlineLevel="0" collapsed="false">
      <c r="A159" s="11" t="s">
        <v>946</v>
      </c>
      <c r="B159" s="11" t="s">
        <v>252</v>
      </c>
      <c r="C159" s="11" t="s">
        <v>13</v>
      </c>
      <c r="D159" s="11" t="s">
        <v>81</v>
      </c>
      <c r="E159" s="11" t="s">
        <v>947</v>
      </c>
      <c r="F159" s="11" t="s">
        <v>948</v>
      </c>
      <c r="G159" s="11" t="s">
        <v>365</v>
      </c>
      <c r="H159" s="11" t="n">
        <v>4</v>
      </c>
      <c r="I159" s="11" t="s">
        <v>949</v>
      </c>
      <c r="J159" s="10"/>
      <c r="K159" s="11"/>
    </row>
    <row r="160" customFormat="false" ht="15" hidden="false" customHeight="false" outlineLevel="0" collapsed="false">
      <c r="A160" s="9" t="s">
        <v>950</v>
      </c>
      <c r="B160" s="9" t="s">
        <v>252</v>
      </c>
      <c r="C160" s="9" t="s">
        <v>13</v>
      </c>
      <c r="D160" s="9" t="s">
        <v>92</v>
      </c>
      <c r="E160" s="9" t="s">
        <v>951</v>
      </c>
      <c r="F160" s="9" t="s">
        <v>952</v>
      </c>
      <c r="G160" s="9" t="s">
        <v>953</v>
      </c>
      <c r="H160" s="9" t="n">
        <v>1</v>
      </c>
      <c r="I160" s="9" t="s">
        <v>954</v>
      </c>
      <c r="J160" s="10"/>
      <c r="K160" s="9"/>
    </row>
    <row r="161" customFormat="false" ht="15" hidden="false" customHeight="false" outlineLevel="0" collapsed="false">
      <c r="A161" s="11" t="s">
        <v>955</v>
      </c>
      <c r="B161" s="11" t="s">
        <v>252</v>
      </c>
      <c r="C161" s="11" t="s">
        <v>13</v>
      </c>
      <c r="D161" s="11" t="s">
        <v>92</v>
      </c>
      <c r="E161" s="11" t="s">
        <v>956</v>
      </c>
      <c r="F161" s="11" t="s">
        <v>957</v>
      </c>
      <c r="G161" s="11" t="s">
        <v>958</v>
      </c>
      <c r="H161" s="11" t="n">
        <v>1</v>
      </c>
      <c r="I161" s="11" t="s">
        <v>959</v>
      </c>
      <c r="J161" s="10"/>
      <c r="K161" s="11"/>
    </row>
    <row r="162" customFormat="false" ht="22.35" hidden="false" customHeight="false" outlineLevel="0" collapsed="false">
      <c r="A162" s="9" t="s">
        <v>960</v>
      </c>
      <c r="B162" s="9" t="s">
        <v>252</v>
      </c>
      <c r="C162" s="9" t="s">
        <v>13</v>
      </c>
      <c r="D162" s="9" t="s">
        <v>92</v>
      </c>
      <c r="E162" s="9" t="s">
        <v>961</v>
      </c>
      <c r="F162" s="9" t="s">
        <v>962</v>
      </c>
      <c r="G162" s="9" t="s">
        <v>963</v>
      </c>
      <c r="H162" s="9" t="n">
        <v>1</v>
      </c>
      <c r="I162" s="9" t="s">
        <v>964</v>
      </c>
      <c r="J162" s="10"/>
      <c r="K162" s="9"/>
    </row>
    <row r="163" customFormat="false" ht="32.8" hidden="false" customHeight="false" outlineLevel="0" collapsed="false">
      <c r="A163" s="11" t="s">
        <v>965</v>
      </c>
      <c r="B163" s="11" t="s">
        <v>252</v>
      </c>
      <c r="C163" s="11" t="s">
        <v>13</v>
      </c>
      <c r="D163" s="11" t="s">
        <v>92</v>
      </c>
      <c r="E163" s="11" t="s">
        <v>966</v>
      </c>
      <c r="F163" s="11" t="s">
        <v>967</v>
      </c>
      <c r="G163" s="11" t="s">
        <v>968</v>
      </c>
      <c r="H163" s="11" t="n">
        <v>5</v>
      </c>
      <c r="I163" s="11" t="s">
        <v>969</v>
      </c>
      <c r="J163" s="10"/>
      <c r="K163" s="11"/>
    </row>
    <row r="164" customFormat="false" ht="15" hidden="false" customHeight="false" outlineLevel="0" collapsed="false">
      <c r="A164" s="9" t="s">
        <v>970</v>
      </c>
      <c r="B164" s="9" t="s">
        <v>252</v>
      </c>
      <c r="C164" s="9" t="s">
        <v>13</v>
      </c>
      <c r="D164" s="9" t="s">
        <v>92</v>
      </c>
      <c r="E164" s="9" t="s">
        <v>971</v>
      </c>
      <c r="F164" s="9" t="s">
        <v>972</v>
      </c>
      <c r="G164" s="9" t="s">
        <v>973</v>
      </c>
      <c r="H164" s="9" t="n">
        <v>1</v>
      </c>
      <c r="I164" s="9" t="s">
        <v>974</v>
      </c>
      <c r="J164" s="10"/>
      <c r="K164" s="9"/>
    </row>
    <row r="165" customFormat="false" ht="15" hidden="false" customHeight="false" outlineLevel="0" collapsed="false">
      <c r="A165" s="11" t="s">
        <v>975</v>
      </c>
      <c r="B165" s="11" t="s">
        <v>252</v>
      </c>
      <c r="C165" s="11" t="s">
        <v>13</v>
      </c>
      <c r="D165" s="11" t="s">
        <v>92</v>
      </c>
      <c r="E165" s="11" t="s">
        <v>976</v>
      </c>
      <c r="F165" s="11" t="s">
        <v>977</v>
      </c>
      <c r="G165" s="11" t="s">
        <v>978</v>
      </c>
      <c r="H165" s="11" t="n">
        <v>1</v>
      </c>
      <c r="I165" s="11" t="s">
        <v>979</v>
      </c>
      <c r="J165" s="10"/>
      <c r="K165" s="11"/>
    </row>
    <row r="166" customFormat="false" ht="15" hidden="false" customHeight="false" outlineLevel="0" collapsed="false">
      <c r="A166" s="9" t="s">
        <v>980</v>
      </c>
      <c r="B166" s="9" t="s">
        <v>252</v>
      </c>
      <c r="C166" s="9" t="s">
        <v>13</v>
      </c>
      <c r="D166" s="9" t="s">
        <v>92</v>
      </c>
      <c r="E166" s="9" t="s">
        <v>981</v>
      </c>
      <c r="F166" s="9" t="s">
        <v>982</v>
      </c>
      <c r="G166" s="9" t="s">
        <v>983</v>
      </c>
      <c r="H166" s="9" t="n">
        <v>1</v>
      </c>
      <c r="I166" s="9" t="s">
        <v>984</v>
      </c>
      <c r="J166" s="10"/>
      <c r="K166" s="9"/>
    </row>
    <row r="167" customFormat="false" ht="22.35" hidden="false" customHeight="false" outlineLevel="0" collapsed="false">
      <c r="A167" s="11" t="s">
        <v>985</v>
      </c>
      <c r="B167" s="11" t="s">
        <v>252</v>
      </c>
      <c r="C167" s="11" t="s">
        <v>13</v>
      </c>
      <c r="D167" s="11" t="s">
        <v>92</v>
      </c>
      <c r="E167" s="11" t="s">
        <v>986</v>
      </c>
      <c r="F167" s="11" t="s">
        <v>987</v>
      </c>
      <c r="G167" s="11" t="s">
        <v>988</v>
      </c>
      <c r="H167" s="11" t="n">
        <v>1</v>
      </c>
      <c r="I167" s="11" t="s">
        <v>989</v>
      </c>
      <c r="J167" s="10"/>
      <c r="K167" s="11"/>
    </row>
    <row r="168" customFormat="false" ht="15" hidden="false" customHeight="false" outlineLevel="0" collapsed="false">
      <c r="A168" s="9" t="s">
        <v>990</v>
      </c>
      <c r="B168" s="9" t="s">
        <v>252</v>
      </c>
      <c r="C168" s="9" t="s">
        <v>13</v>
      </c>
      <c r="D168" s="9" t="s">
        <v>92</v>
      </c>
      <c r="E168" s="9" t="s">
        <v>991</v>
      </c>
      <c r="F168" s="9" t="s">
        <v>992</v>
      </c>
      <c r="G168" s="9" t="s">
        <v>365</v>
      </c>
      <c r="H168" s="9" t="n">
        <v>6</v>
      </c>
      <c r="I168" s="9" t="s">
        <v>993</v>
      </c>
      <c r="J168" s="10"/>
      <c r="K168" s="9"/>
    </row>
    <row r="169" customFormat="false" ht="15" hidden="false" customHeight="false" outlineLevel="0" collapsed="false">
      <c r="A169" s="11" t="s">
        <v>994</v>
      </c>
      <c r="B169" s="11" t="s">
        <v>252</v>
      </c>
      <c r="C169" s="11" t="s">
        <v>13</v>
      </c>
      <c r="D169" s="11" t="s">
        <v>98</v>
      </c>
      <c r="E169" s="11" t="s">
        <v>99</v>
      </c>
      <c r="F169" s="11" t="s">
        <v>917</v>
      </c>
      <c r="G169" s="11" t="s">
        <v>918</v>
      </c>
      <c r="H169" s="11" t="n">
        <v>1</v>
      </c>
      <c r="I169" s="11" t="s">
        <v>995</v>
      </c>
      <c r="J169" s="10"/>
      <c r="K169" s="11"/>
    </row>
    <row r="170" customFormat="false" ht="15" hidden="false" customHeight="false" outlineLevel="0" collapsed="false">
      <c r="A170" s="9" t="s">
        <v>996</v>
      </c>
      <c r="B170" s="9" t="s">
        <v>252</v>
      </c>
      <c r="C170" s="9" t="s">
        <v>13</v>
      </c>
      <c r="D170" s="9" t="s">
        <v>104</v>
      </c>
      <c r="E170" s="9" t="s">
        <v>997</v>
      </c>
      <c r="F170" s="9" t="s">
        <v>917</v>
      </c>
      <c r="G170" s="9" t="s">
        <v>918</v>
      </c>
      <c r="H170" s="9" t="n">
        <v>1</v>
      </c>
      <c r="I170" s="9" t="s">
        <v>998</v>
      </c>
      <c r="J170" s="10"/>
      <c r="K170" s="9"/>
    </row>
    <row r="171" customFormat="false" ht="15" hidden="false" customHeight="false" outlineLevel="0" collapsed="false">
      <c r="A171" s="11" t="s">
        <v>999</v>
      </c>
      <c r="B171" s="11" t="s">
        <v>252</v>
      </c>
      <c r="C171" s="11" t="s">
        <v>13</v>
      </c>
      <c r="D171" s="11" t="s">
        <v>104</v>
      </c>
      <c r="E171" s="11" t="s">
        <v>997</v>
      </c>
      <c r="F171" s="11" t="s">
        <v>1000</v>
      </c>
      <c r="G171" s="11" t="s">
        <v>1001</v>
      </c>
      <c r="H171" s="11" t="n">
        <v>1</v>
      </c>
      <c r="I171" s="11" t="s">
        <v>1002</v>
      </c>
      <c r="J171" s="10"/>
      <c r="K171" s="11"/>
    </row>
    <row r="172" customFormat="false" ht="15" hidden="false" customHeight="false" outlineLevel="0" collapsed="false">
      <c r="A172" s="9" t="s">
        <v>1003</v>
      </c>
      <c r="B172" s="9" t="s">
        <v>252</v>
      </c>
      <c r="C172" s="9" t="s">
        <v>13</v>
      </c>
      <c r="D172" s="9" t="s">
        <v>104</v>
      </c>
      <c r="E172" s="9" t="s">
        <v>105</v>
      </c>
      <c r="F172" s="9" t="s">
        <v>1004</v>
      </c>
      <c r="G172" s="9" t="s">
        <v>1005</v>
      </c>
      <c r="H172" s="9" t="n">
        <v>1</v>
      </c>
      <c r="I172" s="9" t="s">
        <v>1006</v>
      </c>
      <c r="J172" s="10"/>
      <c r="K172" s="9"/>
    </row>
    <row r="173" customFormat="false" ht="15" hidden="false" customHeight="false" outlineLevel="0" collapsed="false">
      <c r="A173" s="11" t="s">
        <v>1007</v>
      </c>
      <c r="B173" s="11" t="s">
        <v>252</v>
      </c>
      <c r="C173" s="11" t="s">
        <v>13</v>
      </c>
      <c r="D173" s="11" t="s">
        <v>104</v>
      </c>
      <c r="E173" s="11" t="s">
        <v>997</v>
      </c>
      <c r="F173" s="11" t="s">
        <v>1008</v>
      </c>
      <c r="G173" s="11" t="s">
        <v>365</v>
      </c>
      <c r="H173" s="11" t="n">
        <v>2</v>
      </c>
      <c r="I173" s="11" t="s">
        <v>1009</v>
      </c>
      <c r="J173" s="10"/>
      <c r="K173" s="11"/>
    </row>
    <row r="174" customFormat="false" ht="32.8" hidden="false" customHeight="false" outlineLevel="0" collapsed="false">
      <c r="A174" s="9" t="s">
        <v>1010</v>
      </c>
      <c r="B174" s="9" t="s">
        <v>252</v>
      </c>
      <c r="C174" s="9" t="s">
        <v>13</v>
      </c>
      <c r="D174" s="9" t="s">
        <v>171</v>
      </c>
      <c r="E174" s="9" t="s">
        <v>1011</v>
      </c>
      <c r="F174" s="9" t="s">
        <v>1012</v>
      </c>
      <c r="G174" s="9" t="s">
        <v>365</v>
      </c>
      <c r="H174" s="9" t="n">
        <v>1</v>
      </c>
      <c r="I174" s="9" t="s">
        <v>1013</v>
      </c>
      <c r="J174" s="10"/>
      <c r="K174" s="9"/>
    </row>
    <row r="175" customFormat="false" ht="15" hidden="false" customHeight="false" outlineLevel="0" collapsed="false">
      <c r="A175" s="11" t="s">
        <v>1014</v>
      </c>
      <c r="B175" s="11" t="s">
        <v>1015</v>
      </c>
      <c r="C175" s="11" t="s">
        <v>20</v>
      </c>
      <c r="D175" s="11" t="s">
        <v>1016</v>
      </c>
      <c r="E175" s="11" t="s">
        <v>1017</v>
      </c>
      <c r="F175" s="11" t="s">
        <v>1018</v>
      </c>
      <c r="G175" s="11" t="s">
        <v>1019</v>
      </c>
      <c r="H175" s="11" t="n">
        <v>1</v>
      </c>
      <c r="I175" s="11" t="s">
        <v>1020</v>
      </c>
      <c r="J175" s="10"/>
      <c r="K175" s="11"/>
    </row>
    <row r="176" customFormat="false" ht="15" hidden="false" customHeight="false" outlineLevel="0" collapsed="false">
      <c r="A176" s="9" t="s">
        <v>1021</v>
      </c>
      <c r="B176" s="9" t="s">
        <v>1015</v>
      </c>
      <c r="C176" s="9" t="s">
        <v>20</v>
      </c>
      <c r="D176" s="9" t="s">
        <v>1016</v>
      </c>
      <c r="E176" s="9" t="s">
        <v>1022</v>
      </c>
      <c r="F176" s="9" t="s">
        <v>1023</v>
      </c>
      <c r="G176" s="9" t="s">
        <v>365</v>
      </c>
      <c r="H176" s="9" t="n">
        <v>1</v>
      </c>
      <c r="I176" s="9" t="s">
        <v>1024</v>
      </c>
      <c r="J176" s="10"/>
      <c r="K176" s="9"/>
    </row>
    <row r="177" customFormat="false" ht="15" hidden="false" customHeight="false" outlineLevel="0" collapsed="false">
      <c r="A177" s="11" t="s">
        <v>1025</v>
      </c>
      <c r="B177" s="11" t="s">
        <v>1015</v>
      </c>
      <c r="C177" s="11" t="s">
        <v>20</v>
      </c>
      <c r="D177" s="11" t="s">
        <v>1016</v>
      </c>
      <c r="E177" s="11" t="s">
        <v>1022</v>
      </c>
      <c r="F177" s="11" t="s">
        <v>1026</v>
      </c>
      <c r="G177" s="11" t="s">
        <v>1027</v>
      </c>
      <c r="H177" s="11" t="n">
        <v>1</v>
      </c>
      <c r="I177" s="11" t="s">
        <v>1028</v>
      </c>
      <c r="J177" s="10"/>
      <c r="K177" s="11"/>
    </row>
    <row r="178" customFormat="false" ht="22.35" hidden="false" customHeight="false" outlineLevel="0" collapsed="false">
      <c r="A178" s="9" t="s">
        <v>1029</v>
      </c>
      <c r="B178" s="9" t="s">
        <v>1015</v>
      </c>
      <c r="C178" s="9" t="s">
        <v>20</v>
      </c>
      <c r="D178" s="9" t="s">
        <v>1016</v>
      </c>
      <c r="E178" s="9" t="s">
        <v>1030</v>
      </c>
      <c r="F178" s="9" t="s">
        <v>1031</v>
      </c>
      <c r="G178" s="9" t="s">
        <v>1032</v>
      </c>
      <c r="H178" s="9" t="n">
        <v>1</v>
      </c>
      <c r="I178" s="9" t="s">
        <v>1033</v>
      </c>
      <c r="J178" s="10"/>
      <c r="K178" s="9"/>
    </row>
    <row r="179" customFormat="false" ht="15" hidden="false" customHeight="false" outlineLevel="0" collapsed="false">
      <c r="A179" s="11" t="s">
        <v>1034</v>
      </c>
      <c r="B179" s="11" t="s">
        <v>1015</v>
      </c>
      <c r="C179" s="11" t="s">
        <v>20</v>
      </c>
      <c r="D179" s="11" t="s">
        <v>1016</v>
      </c>
      <c r="E179" s="11" t="s">
        <v>1035</v>
      </c>
      <c r="F179" s="11" t="s">
        <v>1036</v>
      </c>
      <c r="G179" s="11" t="s">
        <v>1037</v>
      </c>
      <c r="H179" s="11" t="n">
        <v>1</v>
      </c>
      <c r="I179" s="11" t="s">
        <v>1038</v>
      </c>
      <c r="J179" s="10"/>
      <c r="K179" s="11"/>
    </row>
    <row r="181" customFormat="false" ht="15" hidden="false" customHeight="false" outlineLevel="0" collapsed="false">
      <c r="A181" s="12" t="s">
        <v>250</v>
      </c>
    </row>
  </sheetData>
  <autoFilter ref="A1:K179"/>
  <dataValidations count="1">
    <dataValidation allowBlank="true" errorStyle="stop" operator="between" showDropDown="false" showErrorMessage="false" showInputMessage="false" sqref="J2:J179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2026-09-24T17:44:23Z</dcterms:created>
  <dc:creator>openpyxl</dc:creator>
  <dc:description/>
  <dc:language>en-US</dc:language>
  <cp:lastModifiedBy/>
  <dcterms:modified xsi:type="dcterms:W3CDTF">2026-09-24T17:44:24Z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